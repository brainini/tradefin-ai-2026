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eval" sheetId="2" r:id="rId2"/>
    <sheet name="eval_B" sheetId="3" r:id="rId3"/>
    <sheet name="summary" sheetId="4" r:id="rId4"/>
  </sheets>
  <calcPr calcId="124519" fullCalcOnLoad="1"/>
</workbook>
</file>

<file path=xl/sharedStrings.xml><?xml version="1.0" encoding="utf-8"?>
<sst xmlns="http://schemas.openxmlformats.org/spreadsheetml/2006/main" count="290" uniqueCount="113">
  <si>
    <t>Day5 RAG 평가 시트 — 채팅(Claude · ChatGPT 프로젝트)으로 한 검색을 숫자로 잰다. 코드 길(eval.py)을 쓴 사람은 이 시트가 필요 없다 — rag_eval.csv가 같은 계산이다.</t>
  </si>
  <si>
    <t>1) 프로젝트에는 규정 PDF만 올린다. 골든셋 파일(goldset_20.csv)은 올리지 않는다 — 정답 칸(gold_ids · expected_answer)이 있어 AI가 답을 보고 맞힌다.</t>
  </si>
  <si>
    <t>2) rag/goldset_questions.csv의 20줄(질문 두 열)을 새 대화에 붙이고, 문항마다 근거 조항 ID 상위 5개를 표(열: q_id · r1–r5)로 받는다 — 프롬프트 페이지의 '채팅 경로' 문장.</t>
  </si>
  <si>
    <t>3) 받은 표에서 r1–r5 다섯 열(20행)을 복사해 eval 탭의 F2에 '값만' 붙여 넣는다. 조항 ID는 조 단위(HB-27 · HB-별표1)로, 공백 없이.</t>
  </si>
  <si>
    <t>4) 규정 PDF에 정답이 있는 10문항(흰 줄, 노란 칸)만 채점된다. 회색 줄은 약관 등 PDF에 없는 정답이거나 정답이 없는 기권 문항이다 — 건너뛴다.</t>
  </si>
  <si>
    <t>5) summary 탭에 K = 1 · 3 · 5의 P@K · R@K · F1@K, Hit@3, MRR, Top-K가 계산된다. 고른 K와 이유 한 줄을 적는다(rag_report.md에도).</t>
  </si>
  <si>
    <t>6) 개선 실험(A7): 지시문 한 줄을 바꿔 다시 받은 두 번째 결과를 eval_B 탭의 F2에 붙이면 summary가 전 · 후를 나란히 보여 준다.</t>
  </si>
  <si>
    <t>정의: P@K = 상위 K개 안의 정답 조항 수 ÷ K · R@K = 상위 K개 안의 정답 조항 수 ÷ 정답 조항 수 · F1@K = 2PR ÷ (P + R) — P와 R 중 낮은 쪽에 끌려간다. F1이 가장 높은 K가 Top-K.</t>
  </si>
  <si>
    <t>Hit@3 = 상위 3개 안에 정답이 있는 문항 비율 · MRR(상위 5) = 첫 정답 순위의 역수 평균(채팅은 상위 5개만 받으므로 5위 밖은 0). 모두 규정 PDF에 정답이 있는 문항만의 평균이다.</t>
  </si>
  <si>
    <t>조항 ID: HB-(가상 한빛정밀 여신관리규정) · 예) HB-27② → HB-27, 별표1 → HB-별표1. 약관(KS-) · 법령(LAW-)은 이 저장소에 없다.</t>
  </si>
  <si>
    <t>q_id</t>
  </si>
  <si>
    <t>question</t>
  </si>
  <si>
    <t>kind</t>
  </si>
  <si>
    <t>gold_id1</t>
  </si>
  <si>
    <t>gold_id2</t>
  </si>
  <si>
    <t>r1</t>
  </si>
  <si>
    <t>r2</t>
  </si>
  <si>
    <t>r3</t>
  </si>
  <si>
    <t>r4</t>
  </si>
  <si>
    <t>r5</t>
  </si>
  <si>
    <t>hit_at_3</t>
  </si>
  <si>
    <t>rr</t>
  </si>
  <si>
    <t>p_at_1</t>
  </si>
  <si>
    <t>r_at_1</t>
  </si>
  <si>
    <t>f1_at_1</t>
  </si>
  <si>
    <t>p_at_3</t>
  </si>
  <si>
    <t>r_at_3</t>
  </si>
  <si>
    <t>f1_at_3</t>
  </si>
  <si>
    <t>p_at_5</t>
  </si>
  <si>
    <t>r_at_5</t>
  </si>
  <si>
    <t>f1_at_5</t>
  </si>
  <si>
    <t>Q01</t>
  </si>
  <si>
    <t>중소기업이 단기수출보험(선적후)에 가입하면 부보율은?</t>
  </si>
  <si>
    <t>코퍼스 밖</t>
  </si>
  <si>
    <t/>
  </si>
  <si>
    <t>Q02</t>
  </si>
  <si>
    <t>보험금 청구 후 언제까지 지급되나?</t>
  </si>
  <si>
    <t>Q03</t>
  </si>
  <si>
    <t>결제기일이 2026-09-15인 O/A 건이 미결제다. 사고발생통지 기한은?</t>
  </si>
  <si>
    <t>규정 정답</t>
  </si>
  <si>
    <t>HB-20</t>
  </si>
  <si>
    <t>Q04</t>
  </si>
  <si>
    <t>사고통지를 늦게 하면 무조건 15/1000 위약금을 내나?</t>
  </si>
  <si>
    <t>Q05</t>
  </si>
  <si>
    <t>이전 대금이 결제기일 후 35일째 미결제인 O/A 바이어에게 추가 선적하면?</t>
  </si>
  <si>
    <t>Q06</t>
  </si>
  <si>
    <t>Q05와 같은 상황인데 신용장(L/C) 거래라면?</t>
  </si>
  <si>
    <t>Q07</t>
  </si>
  <si>
    <t>사내 규정상 연체 40일 바이어에게 영업본부장 승인으로 선적해도 되나?</t>
  </si>
  <si>
    <t>HB-27</t>
  </si>
  <si>
    <t>Q08</t>
  </si>
  <si>
    <t>바이어가 최근 인보이스부터 입금 처리해 달라고 한다. 사내 규정상 가능한가?</t>
  </si>
  <si>
    <t>HB-21</t>
  </si>
  <si>
    <t>Q09</t>
  </si>
  <si>
    <t>바이어의 Chapter 11 신청 뉴스를 본 뒤 선적한 건도 보상되나?</t>
  </si>
  <si>
    <t>Q10</t>
  </si>
  <si>
    <t>중소기업이 지급지체 사고로 보험금을 청구할 수 있는 시점은?</t>
  </si>
  <si>
    <t>Q11</t>
  </si>
  <si>
    <t>분쟁 등으로 보험금 지급이 늦어질 때 가지급 한도는?</t>
  </si>
  <si>
    <t>Q12</t>
  </si>
  <si>
    <t>보험금청구권의 소멸시효는?</t>
  </si>
  <si>
    <t>Q13</t>
  </si>
  <si>
    <t>보험금을 받기 전에 일부 회수하면 언제까지 알려야 하나?</t>
  </si>
  <si>
    <t>Q14</t>
  </si>
  <si>
    <t>바이어와 결제기일을 60일에서 90일로 연장하기로 했다. K-SURE에 무엇을 해야 하나?</t>
  </si>
  <si>
    <t>Q15</t>
  </si>
  <si>
    <t>사내 규정상 C등급 바이어에게 허용되는 결제조건은?</t>
  </si>
  <si>
    <t>HB-10</t>
  </si>
  <si>
    <t>Q16</t>
  </si>
  <si>
    <t>사내 규정상 바이어 한도 US$150,000 신규 설정의 전결권자는?</t>
  </si>
  <si>
    <t>HB-6</t>
  </si>
  <si>
    <t>Q17</t>
  </si>
  <si>
    <t>수출채권 대손을 세무상 인정받을 수 있는 K-SURE 관련 사유는?</t>
  </si>
  <si>
    <t>HB-34</t>
  </si>
  <si>
    <t>Q18</t>
  </si>
  <si>
    <t>중소기업 외상매출금은 회수기일이 얼마나 지나야 대손 사유가 되나?</t>
  </si>
  <si>
    <t>Q19</t>
  </si>
  <si>
    <t>UCP 600 제14조의 서류심사 기간은?</t>
  </si>
  <si>
    <t>기권</t>
  </si>
  <si>
    <t>Q20</t>
  </si>
  <si>
    <t>K-SURE 개별보험에서 B등급 수입자·90일 조건의 보험요율은?</t>
  </si>
  <si>
    <t>← 기준 결과의 r1–r5(20행)를 F2에 값만 붙여 넣는다</t>
  </si>
  <si>
    <t>← 실험 후 결과의 r1–r5(20행)를 F2에 값만 붙여 넣는다</t>
  </si>
  <si>
    <t>지표</t>
  </si>
  <si>
    <t>기준(eval)</t>
  </si>
  <si>
    <t>실험 후(eval_B)</t>
  </si>
  <si>
    <t>변화(후 − 전)</t>
  </si>
  <si>
    <t>정의</t>
  </si>
  <si>
    <t>채점한 문항 수</t>
  </si>
  <si>
    <t>규정 PDF에 정답이 있는 문항 중 r1–r5가 채워진 수(다 채우면 10)</t>
  </si>
  <si>
    <t>P@1</t>
  </si>
  <si>
    <t>상위 K개 안의 정답 조항 수 ÷ K</t>
  </si>
  <si>
    <t>R@1</t>
  </si>
  <si>
    <t>상위 K개 안의 정답 조항 수 ÷ 정답 조항 수</t>
  </si>
  <si>
    <t>F1@1</t>
  </si>
  <si>
    <t>2 × P × R ÷ (P + R)</t>
  </si>
  <si>
    <t>P@3</t>
  </si>
  <si>
    <t>R@3</t>
  </si>
  <si>
    <t>F1@3</t>
  </si>
  <si>
    <t>P@5</t>
  </si>
  <si>
    <t>R@5</t>
  </si>
  <si>
    <t>F1@5</t>
  </si>
  <si>
    <t>Hit@3</t>
  </si>
  <si>
    <t>상위 3개 안에 정답이 있는 문항 비율</t>
  </si>
  <si>
    <t>MRR(상위 5)</t>
  </si>
  <si>
    <t>첫 정답 순위의 역수 평균 — 상위 5개 안에서만 센다(코드 길 eval.py는 전체 순위로 재서 0.01쯤 높을 수 있다)</t>
  </si>
  <si>
    <t>Top-K</t>
  </si>
  <si>
    <t>F1@K가 가장 높은 K(같으면 작은 K)</t>
  </si>
  <si>
    <t>내가 고른 K</t>
  </si>
  <si>
    <t>이유 한 줄</t>
  </si>
  <si>
    <t>K</t>
  </si>
  <si>
    <t>F1@K 기준</t>
  </si>
  <si>
    <t>F1@K 실험 후</t>
  </si>
</sst>
</file>

<file path=xl/styles.xml><?xml version="1.0" encoding="utf-8"?>
<styleSheet xmlns="http://schemas.openxmlformats.org/spreadsheetml/2006/main">
  <numFmts count="1">
    <numFmt numFmtId="164" formatCode="0.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8A8A8A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CEAE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3" borderId="1" xfId="0" applyFont="1" applyFill="1" applyBorder="1"/>
    <xf numFmtId="0" fontId="2" fillId="3" borderId="1" xfId="0" applyFont="1" applyFill="1" applyBorder="1" applyAlignment="1">
      <alignment vertical="top" wrapText="1"/>
    </xf>
    <xf numFmtId="164" fontId="0" fillId="4" borderId="1" xfId="0" applyNumberFormat="1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평균 F1@K — K별 비교(Top-K 선택)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기준</c:v>
          </c:tx>
          <c:spPr>
            <a:solidFill>
              <a:srgbClr val="4472C4"/>
            </a:solidFill>
          </c:spPr>
          <c:dLbls>
            <c:numFmt formatCode="0.00" sourceLinked="0"/>
            <c:showVal val="1"/>
          </c:dLbls>
          <c:cat>
            <c:numRef>
              <c:f>summary!$A$21:$A$23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5</c:v>
                </c:pt>
              </c:numCache>
            </c:numRef>
          </c:cat>
          <c:val>
            <c:numRef>
              <c:f>summary!$B$21:$B$23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v>실험 후</c:v>
          </c:tx>
          <c:spPr>
            <a:solidFill>
              <a:srgbClr val="A5A5A5"/>
            </a:solidFill>
          </c:spPr>
          <c:dLbls>
            <c:numFmt formatCode="0.00" sourceLinked="0"/>
            <c:showVal val="1"/>
          </c:dLbls>
          <c:cat>
            <c:numRef>
              <c:f>summary!$A$21:$A$23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5</c:v>
                </c:pt>
              </c:numCache>
            </c:numRef>
          </c:cat>
          <c:val>
            <c:numRef>
              <c:f>summary!$C$21:$C$23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K(상위 몇 개를 근거로 쓰나)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"/>
          <c:min val="0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15</xdr:col>
      <xdr:colOff>0</xdr:colOff>
      <xdr:row>16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tabSelected="1" workbookViewId="0"/>
  </sheetViews>
  <sheetFormatPr defaultRowHeight="15"/>
  <cols>
    <col min="1" max="1" width="150.7109375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2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6.7109375" customWidth="1"/>
    <col min="2" max="2" width="46.7109375" customWidth="1"/>
    <col min="3" max="5" width="10.7109375" customWidth="1"/>
    <col min="6" max="12" width="9.7109375" customWidth="1"/>
    <col min="13" max="21" width="8.7109375" customWidth="1"/>
  </cols>
  <sheetData>
    <row r="1" spans="1:23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3" t="s">
        <v>26</v>
      </c>
      <c r="R1" s="3" t="s">
        <v>27</v>
      </c>
      <c r="S1" s="3" t="s">
        <v>28</v>
      </c>
      <c r="T1" s="3" t="s">
        <v>29</v>
      </c>
      <c r="U1" s="3" t="s">
        <v>30</v>
      </c>
      <c r="W1" s="1" t="s">
        <v>81</v>
      </c>
    </row>
    <row r="2" spans="1:23">
      <c r="A2" s="4" t="s">
        <v>31</v>
      </c>
      <c r="B2" s="5" t="s">
        <v>32</v>
      </c>
      <c r="C2" s="4" t="s">
        <v>33</v>
      </c>
      <c r="D2" s="4" t="s">
        <v>34</v>
      </c>
      <c r="E2" s="4" t="s">
        <v>34</v>
      </c>
      <c r="F2" s="4"/>
      <c r="G2" s="4"/>
      <c r="H2" s="4"/>
      <c r="I2" s="4"/>
      <c r="J2" s="4"/>
      <c r="K2" s="6">
        <f>IF($C2&lt;&gt;"규정 정답","",IF(COUNTA($F2:$J2)=0,"",IF(IF(COUNTIF($F2:$H2,$D2)&gt;0,1,0)+IF($E2="",0,IF(COUNTIF($F2:$H2,$E2)&gt;0,1,0))&gt;0,1,0)))</f>
        <v/>
      </c>
      <c r="L2" s="6">
        <f>IF($C2&lt;&gt;"규정 정답","",IF(COUNTA($F2:$J2)=0,"",MAX(IFERROR(1/MATCH($D2,$F2:$J2,0),0),IF($E2="",0,IFERROR(1/MATCH($E2,$F2:$J2,0),0)))))</f>
        <v/>
      </c>
      <c r="M2" s="6">
        <f>IF($C2&lt;&gt;"규정 정답","",IF(COUNTA($F2:$J2)=0,"",(IF(COUNTIF($F2:$F2,$D2)&gt;0,1,0)+IF($E2="",0,IF(COUNTIF($F2:$F2,$E2)&gt;0,1,0)))/1))</f>
        <v/>
      </c>
      <c r="N2" s="6">
        <f>IF($C2&lt;&gt;"규정 정답","",IF(COUNTA($F2:$J2)=0,"",(IF(COUNTIF($F2:$F2,$D2)&gt;0,1,0)+IF($E2="",0,IF(COUNTIF($F2:$F2,$E2)&gt;0,1,0)))/IF($E2="",1,2)))</f>
        <v/>
      </c>
      <c r="O2" s="6">
        <f>IF($C2&lt;&gt;"규정 정답","",IF(COUNTA($F2:$J2)=0,"",IF(M2+N2=0,0,2*M2*N2/(M2+N2))))</f>
        <v/>
      </c>
      <c r="P2" s="6">
        <f>IF($C2&lt;&gt;"규정 정답","",IF(COUNTA($F2:$J2)=0,"",(IF(COUNTIF($F2:$H2,$D2)&gt;0,1,0)+IF($E2="",0,IF(COUNTIF($F2:$H2,$E2)&gt;0,1,0)))/3))</f>
        <v/>
      </c>
      <c r="Q2" s="6">
        <f>IF($C2&lt;&gt;"규정 정답","",IF(COUNTA($F2:$J2)=0,"",(IF(COUNTIF($F2:$H2,$D2)&gt;0,1,0)+IF($E2="",0,IF(COUNTIF($F2:$H2,$E2)&gt;0,1,0)))/IF($E2="",1,2)))</f>
        <v/>
      </c>
      <c r="R2" s="6">
        <f>IF($C2&lt;&gt;"규정 정답","",IF(COUNTA($F2:$J2)=0,"",IF(P2+Q2=0,0,2*P2*Q2/(P2+Q2))))</f>
        <v/>
      </c>
      <c r="S2" s="6">
        <f>IF($C2&lt;&gt;"규정 정답","",IF(COUNTA($F2:$J2)=0,"",(IF(COUNTIF($F2:$J2,$D2)&gt;0,1,0)+IF($E2="",0,IF(COUNTIF($F2:$J2,$E2)&gt;0,1,0)))/5))</f>
        <v/>
      </c>
      <c r="T2" s="6">
        <f>IF($C2&lt;&gt;"규정 정답","",IF(COUNTA($F2:$J2)=0,"",(IF(COUNTIF($F2:$J2,$D2)&gt;0,1,0)+IF($E2="",0,IF(COUNTIF($F2:$J2,$E2)&gt;0,1,0)))/IF($E2="",1,2)))</f>
        <v/>
      </c>
      <c r="U2" s="6">
        <f>IF($C2&lt;&gt;"규정 정답","",IF(COUNTA($F2:$J2)=0,"",IF(S2+T2=0,0,2*S2*T2/(S2+T2))))</f>
        <v/>
      </c>
    </row>
    <row r="3" spans="1:23">
      <c r="A3" s="4" t="s">
        <v>35</v>
      </c>
      <c r="B3" s="5" t="s">
        <v>36</v>
      </c>
      <c r="C3" s="4" t="s">
        <v>33</v>
      </c>
      <c r="D3" s="4" t="s">
        <v>34</v>
      </c>
      <c r="E3" s="4" t="s">
        <v>34</v>
      </c>
      <c r="F3" s="4"/>
      <c r="G3" s="4"/>
      <c r="H3" s="4"/>
      <c r="I3" s="4"/>
      <c r="J3" s="4"/>
      <c r="K3" s="6">
        <f>IF($C3&lt;&gt;"규정 정답","",IF(COUNTA($F3:$J3)=0,"",IF(IF(COUNTIF($F3:$H3,$D3)&gt;0,1,0)+IF($E3="",0,IF(COUNTIF($F3:$H3,$E3)&gt;0,1,0))&gt;0,1,0)))</f>
        <v/>
      </c>
      <c r="L3" s="6">
        <f>IF($C3&lt;&gt;"규정 정답","",IF(COUNTA($F3:$J3)=0,"",MAX(IFERROR(1/MATCH($D3,$F3:$J3,0),0),IF($E3="",0,IFERROR(1/MATCH($E3,$F3:$J3,0),0)))))</f>
        <v/>
      </c>
      <c r="M3" s="6">
        <f>IF($C3&lt;&gt;"규정 정답","",IF(COUNTA($F3:$J3)=0,"",(IF(COUNTIF($F3:$F3,$D3)&gt;0,1,0)+IF($E3="",0,IF(COUNTIF($F3:$F3,$E3)&gt;0,1,0)))/1))</f>
        <v/>
      </c>
      <c r="N3" s="6">
        <f>IF($C3&lt;&gt;"규정 정답","",IF(COUNTA($F3:$J3)=0,"",(IF(COUNTIF($F3:$F3,$D3)&gt;0,1,0)+IF($E3="",0,IF(COUNTIF($F3:$F3,$E3)&gt;0,1,0)))/IF($E3="",1,2)))</f>
        <v/>
      </c>
      <c r="O3" s="6">
        <f>IF($C3&lt;&gt;"규정 정답","",IF(COUNTA($F3:$J3)=0,"",IF(M3+N3=0,0,2*M3*N3/(M3+N3))))</f>
        <v/>
      </c>
      <c r="P3" s="6">
        <f>IF($C3&lt;&gt;"규정 정답","",IF(COUNTA($F3:$J3)=0,"",(IF(COUNTIF($F3:$H3,$D3)&gt;0,1,0)+IF($E3="",0,IF(COUNTIF($F3:$H3,$E3)&gt;0,1,0)))/3))</f>
        <v/>
      </c>
      <c r="Q3" s="6">
        <f>IF($C3&lt;&gt;"규정 정답","",IF(COUNTA($F3:$J3)=0,"",(IF(COUNTIF($F3:$H3,$D3)&gt;0,1,0)+IF($E3="",0,IF(COUNTIF($F3:$H3,$E3)&gt;0,1,0)))/IF($E3="",1,2)))</f>
        <v/>
      </c>
      <c r="R3" s="6">
        <f>IF($C3&lt;&gt;"규정 정답","",IF(COUNTA($F3:$J3)=0,"",IF(P3+Q3=0,0,2*P3*Q3/(P3+Q3))))</f>
        <v/>
      </c>
      <c r="S3" s="6">
        <f>IF($C3&lt;&gt;"규정 정답","",IF(COUNTA($F3:$J3)=0,"",(IF(COUNTIF($F3:$J3,$D3)&gt;0,1,0)+IF($E3="",0,IF(COUNTIF($F3:$J3,$E3)&gt;0,1,0)))/5))</f>
        <v/>
      </c>
      <c r="T3" s="6">
        <f>IF($C3&lt;&gt;"규정 정답","",IF(COUNTA($F3:$J3)=0,"",(IF(COUNTIF($F3:$J3,$D3)&gt;0,1,0)+IF($E3="",0,IF(COUNTIF($F3:$J3,$E3)&gt;0,1,0)))/IF($E3="",1,2)))</f>
        <v/>
      </c>
      <c r="U3" s="6">
        <f>IF($C3&lt;&gt;"규정 정답","",IF(COUNTA($F3:$J3)=0,"",IF(S3+T3=0,0,2*S3*T3/(S3+T3))))</f>
        <v/>
      </c>
    </row>
    <row r="4" spans="1:23">
      <c r="A4" t="s">
        <v>37</v>
      </c>
      <c r="B4" s="2" t="s">
        <v>38</v>
      </c>
      <c r="C4" t="s">
        <v>39</v>
      </c>
      <c r="D4" t="s">
        <v>40</v>
      </c>
      <c r="E4" t="s">
        <v>34</v>
      </c>
      <c r="F4" s="7"/>
      <c r="G4" s="7"/>
      <c r="H4" s="7"/>
      <c r="I4" s="7"/>
      <c r="J4" s="7"/>
      <c r="K4" s="6">
        <f>IF($C4&lt;&gt;"규정 정답","",IF(COUNTA($F4:$J4)=0,"",IF(IF(COUNTIF($F4:$H4,$D4)&gt;0,1,0)+IF($E4="",0,IF(COUNTIF($F4:$H4,$E4)&gt;0,1,0))&gt;0,1,0)))</f>
        <v/>
      </c>
      <c r="L4" s="6">
        <f>IF($C4&lt;&gt;"규정 정답","",IF(COUNTA($F4:$J4)=0,"",MAX(IFERROR(1/MATCH($D4,$F4:$J4,0),0),IF($E4="",0,IFERROR(1/MATCH($E4,$F4:$J4,0),0)))))</f>
        <v/>
      </c>
      <c r="M4" s="6">
        <f>IF($C4&lt;&gt;"규정 정답","",IF(COUNTA($F4:$J4)=0,"",(IF(COUNTIF($F4:$F4,$D4)&gt;0,1,0)+IF($E4="",0,IF(COUNTIF($F4:$F4,$E4)&gt;0,1,0)))/1))</f>
        <v/>
      </c>
      <c r="N4" s="6">
        <f>IF($C4&lt;&gt;"규정 정답","",IF(COUNTA($F4:$J4)=0,"",(IF(COUNTIF($F4:$F4,$D4)&gt;0,1,0)+IF($E4="",0,IF(COUNTIF($F4:$F4,$E4)&gt;0,1,0)))/IF($E4="",1,2)))</f>
        <v/>
      </c>
      <c r="O4" s="6">
        <f>IF($C4&lt;&gt;"규정 정답","",IF(COUNTA($F4:$J4)=0,"",IF(M4+N4=0,0,2*M4*N4/(M4+N4))))</f>
        <v/>
      </c>
      <c r="P4" s="6">
        <f>IF($C4&lt;&gt;"규정 정답","",IF(COUNTA($F4:$J4)=0,"",(IF(COUNTIF($F4:$H4,$D4)&gt;0,1,0)+IF($E4="",0,IF(COUNTIF($F4:$H4,$E4)&gt;0,1,0)))/3))</f>
        <v/>
      </c>
      <c r="Q4" s="6">
        <f>IF($C4&lt;&gt;"규정 정답","",IF(COUNTA($F4:$J4)=0,"",(IF(COUNTIF($F4:$H4,$D4)&gt;0,1,0)+IF($E4="",0,IF(COUNTIF($F4:$H4,$E4)&gt;0,1,0)))/IF($E4="",1,2)))</f>
        <v/>
      </c>
      <c r="R4" s="6">
        <f>IF($C4&lt;&gt;"규정 정답","",IF(COUNTA($F4:$J4)=0,"",IF(P4+Q4=0,0,2*P4*Q4/(P4+Q4))))</f>
        <v/>
      </c>
      <c r="S4" s="6">
        <f>IF($C4&lt;&gt;"규정 정답","",IF(COUNTA($F4:$J4)=0,"",(IF(COUNTIF($F4:$J4,$D4)&gt;0,1,0)+IF($E4="",0,IF(COUNTIF($F4:$J4,$E4)&gt;0,1,0)))/5))</f>
        <v/>
      </c>
      <c r="T4" s="6">
        <f>IF($C4&lt;&gt;"규정 정답","",IF(COUNTA($F4:$J4)=0,"",(IF(COUNTIF($F4:$J4,$D4)&gt;0,1,0)+IF($E4="",0,IF(COUNTIF($F4:$J4,$E4)&gt;0,1,0)))/IF($E4="",1,2)))</f>
        <v/>
      </c>
      <c r="U4" s="6">
        <f>IF($C4&lt;&gt;"규정 정답","",IF(COUNTA($F4:$J4)=0,"",IF(S4+T4=0,0,2*S4*T4/(S4+T4))))</f>
        <v/>
      </c>
    </row>
    <row r="5" spans="1:23">
      <c r="A5" s="4" t="s">
        <v>41</v>
      </c>
      <c r="B5" s="5" t="s">
        <v>42</v>
      </c>
      <c r="C5" s="4" t="s">
        <v>33</v>
      </c>
      <c r="D5" s="4" t="s">
        <v>34</v>
      </c>
      <c r="E5" s="4" t="s">
        <v>34</v>
      </c>
      <c r="F5" s="4"/>
      <c r="G5" s="4"/>
      <c r="H5" s="4"/>
      <c r="I5" s="4"/>
      <c r="J5" s="4"/>
      <c r="K5" s="6">
        <f>IF($C5&lt;&gt;"규정 정답","",IF(COUNTA($F5:$J5)=0,"",IF(IF(COUNTIF($F5:$H5,$D5)&gt;0,1,0)+IF($E5="",0,IF(COUNTIF($F5:$H5,$E5)&gt;0,1,0))&gt;0,1,0)))</f>
        <v/>
      </c>
      <c r="L5" s="6">
        <f>IF($C5&lt;&gt;"규정 정답","",IF(COUNTA($F5:$J5)=0,"",MAX(IFERROR(1/MATCH($D5,$F5:$J5,0),0),IF($E5="",0,IFERROR(1/MATCH($E5,$F5:$J5,0),0)))))</f>
        <v/>
      </c>
      <c r="M5" s="6">
        <f>IF($C5&lt;&gt;"규정 정답","",IF(COUNTA($F5:$J5)=0,"",(IF(COUNTIF($F5:$F5,$D5)&gt;0,1,0)+IF($E5="",0,IF(COUNTIF($F5:$F5,$E5)&gt;0,1,0)))/1))</f>
        <v/>
      </c>
      <c r="N5" s="6">
        <f>IF($C5&lt;&gt;"규정 정답","",IF(COUNTA($F5:$J5)=0,"",(IF(COUNTIF($F5:$F5,$D5)&gt;0,1,0)+IF($E5="",0,IF(COUNTIF($F5:$F5,$E5)&gt;0,1,0)))/IF($E5="",1,2)))</f>
        <v/>
      </c>
      <c r="O5" s="6">
        <f>IF($C5&lt;&gt;"규정 정답","",IF(COUNTA($F5:$J5)=0,"",IF(M5+N5=0,0,2*M5*N5/(M5+N5))))</f>
        <v/>
      </c>
      <c r="P5" s="6">
        <f>IF($C5&lt;&gt;"규정 정답","",IF(COUNTA($F5:$J5)=0,"",(IF(COUNTIF($F5:$H5,$D5)&gt;0,1,0)+IF($E5="",0,IF(COUNTIF($F5:$H5,$E5)&gt;0,1,0)))/3))</f>
        <v/>
      </c>
      <c r="Q5" s="6">
        <f>IF($C5&lt;&gt;"규정 정답","",IF(COUNTA($F5:$J5)=0,"",(IF(COUNTIF($F5:$H5,$D5)&gt;0,1,0)+IF($E5="",0,IF(COUNTIF($F5:$H5,$E5)&gt;0,1,0)))/IF($E5="",1,2)))</f>
        <v/>
      </c>
      <c r="R5" s="6">
        <f>IF($C5&lt;&gt;"규정 정답","",IF(COUNTA($F5:$J5)=0,"",IF(P5+Q5=0,0,2*P5*Q5/(P5+Q5))))</f>
        <v/>
      </c>
      <c r="S5" s="6">
        <f>IF($C5&lt;&gt;"규정 정답","",IF(COUNTA($F5:$J5)=0,"",(IF(COUNTIF($F5:$J5,$D5)&gt;0,1,0)+IF($E5="",0,IF(COUNTIF($F5:$J5,$E5)&gt;0,1,0)))/5))</f>
        <v/>
      </c>
      <c r="T5" s="6">
        <f>IF($C5&lt;&gt;"규정 정답","",IF(COUNTA($F5:$J5)=0,"",(IF(COUNTIF($F5:$J5,$D5)&gt;0,1,0)+IF($E5="",0,IF(COUNTIF($F5:$J5,$E5)&gt;0,1,0)))/IF($E5="",1,2)))</f>
        <v/>
      </c>
      <c r="U5" s="6">
        <f>IF($C5&lt;&gt;"규정 정답","",IF(COUNTA($F5:$J5)=0,"",IF(S5+T5=0,0,2*S5*T5/(S5+T5))))</f>
        <v/>
      </c>
    </row>
    <row r="6" spans="1:23">
      <c r="A6" s="4" t="s">
        <v>43</v>
      </c>
      <c r="B6" s="5" t="s">
        <v>44</v>
      </c>
      <c r="C6" s="4" t="s">
        <v>33</v>
      </c>
      <c r="D6" s="4" t="s">
        <v>34</v>
      </c>
      <c r="E6" s="4" t="s">
        <v>34</v>
      </c>
      <c r="F6" s="4"/>
      <c r="G6" s="4"/>
      <c r="H6" s="4"/>
      <c r="I6" s="4"/>
      <c r="J6" s="4"/>
      <c r="K6" s="6">
        <f>IF($C6&lt;&gt;"규정 정답","",IF(COUNTA($F6:$J6)=0,"",IF(IF(COUNTIF($F6:$H6,$D6)&gt;0,1,0)+IF($E6="",0,IF(COUNTIF($F6:$H6,$E6)&gt;0,1,0))&gt;0,1,0)))</f>
        <v/>
      </c>
      <c r="L6" s="6">
        <f>IF($C6&lt;&gt;"규정 정답","",IF(COUNTA($F6:$J6)=0,"",MAX(IFERROR(1/MATCH($D6,$F6:$J6,0),0),IF($E6="",0,IFERROR(1/MATCH($E6,$F6:$J6,0),0)))))</f>
        <v/>
      </c>
      <c r="M6" s="6">
        <f>IF($C6&lt;&gt;"규정 정답","",IF(COUNTA($F6:$J6)=0,"",(IF(COUNTIF($F6:$F6,$D6)&gt;0,1,0)+IF($E6="",0,IF(COUNTIF($F6:$F6,$E6)&gt;0,1,0)))/1))</f>
        <v/>
      </c>
      <c r="N6" s="6">
        <f>IF($C6&lt;&gt;"규정 정답","",IF(COUNTA($F6:$J6)=0,"",(IF(COUNTIF($F6:$F6,$D6)&gt;0,1,0)+IF($E6="",0,IF(COUNTIF($F6:$F6,$E6)&gt;0,1,0)))/IF($E6="",1,2)))</f>
        <v/>
      </c>
      <c r="O6" s="6">
        <f>IF($C6&lt;&gt;"규정 정답","",IF(COUNTA($F6:$J6)=0,"",IF(M6+N6=0,0,2*M6*N6/(M6+N6))))</f>
        <v/>
      </c>
      <c r="P6" s="6">
        <f>IF($C6&lt;&gt;"규정 정답","",IF(COUNTA($F6:$J6)=0,"",(IF(COUNTIF($F6:$H6,$D6)&gt;0,1,0)+IF($E6="",0,IF(COUNTIF($F6:$H6,$E6)&gt;0,1,0)))/3))</f>
        <v/>
      </c>
      <c r="Q6" s="6">
        <f>IF($C6&lt;&gt;"규정 정답","",IF(COUNTA($F6:$J6)=0,"",(IF(COUNTIF($F6:$H6,$D6)&gt;0,1,0)+IF($E6="",0,IF(COUNTIF($F6:$H6,$E6)&gt;0,1,0)))/IF($E6="",1,2)))</f>
        <v/>
      </c>
      <c r="R6" s="6">
        <f>IF($C6&lt;&gt;"규정 정답","",IF(COUNTA($F6:$J6)=0,"",IF(P6+Q6=0,0,2*P6*Q6/(P6+Q6))))</f>
        <v/>
      </c>
      <c r="S6" s="6">
        <f>IF($C6&lt;&gt;"규정 정답","",IF(COUNTA($F6:$J6)=0,"",(IF(COUNTIF($F6:$J6,$D6)&gt;0,1,0)+IF($E6="",0,IF(COUNTIF($F6:$J6,$E6)&gt;0,1,0)))/5))</f>
        <v/>
      </c>
      <c r="T6" s="6">
        <f>IF($C6&lt;&gt;"규정 정답","",IF(COUNTA($F6:$J6)=0,"",(IF(COUNTIF($F6:$J6,$D6)&gt;0,1,0)+IF($E6="",0,IF(COUNTIF($F6:$J6,$E6)&gt;0,1,0)))/IF($E6="",1,2)))</f>
        <v/>
      </c>
      <c r="U6" s="6">
        <f>IF($C6&lt;&gt;"규정 정답","",IF(COUNTA($F6:$J6)=0,"",IF(S6+T6=0,0,2*S6*T6/(S6+T6))))</f>
        <v/>
      </c>
    </row>
    <row r="7" spans="1:23">
      <c r="A7" s="4" t="s">
        <v>45</v>
      </c>
      <c r="B7" s="5" t="s">
        <v>46</v>
      </c>
      <c r="C7" s="4" t="s">
        <v>33</v>
      </c>
      <c r="D7" s="4" t="s">
        <v>34</v>
      </c>
      <c r="E7" s="4" t="s">
        <v>34</v>
      </c>
      <c r="F7" s="4"/>
      <c r="G7" s="4"/>
      <c r="H7" s="4"/>
      <c r="I7" s="4"/>
      <c r="J7" s="4"/>
      <c r="K7" s="6">
        <f>IF($C7&lt;&gt;"규정 정답","",IF(COUNTA($F7:$J7)=0,"",IF(IF(COUNTIF($F7:$H7,$D7)&gt;0,1,0)+IF($E7="",0,IF(COUNTIF($F7:$H7,$E7)&gt;0,1,0))&gt;0,1,0)))</f>
        <v/>
      </c>
      <c r="L7" s="6">
        <f>IF($C7&lt;&gt;"규정 정답","",IF(COUNTA($F7:$J7)=0,"",MAX(IFERROR(1/MATCH($D7,$F7:$J7,0),0),IF($E7="",0,IFERROR(1/MATCH($E7,$F7:$J7,0),0)))))</f>
        <v/>
      </c>
      <c r="M7" s="6">
        <f>IF($C7&lt;&gt;"규정 정답","",IF(COUNTA($F7:$J7)=0,"",(IF(COUNTIF($F7:$F7,$D7)&gt;0,1,0)+IF($E7="",0,IF(COUNTIF($F7:$F7,$E7)&gt;0,1,0)))/1))</f>
        <v/>
      </c>
      <c r="N7" s="6">
        <f>IF($C7&lt;&gt;"규정 정답","",IF(COUNTA($F7:$J7)=0,"",(IF(COUNTIF($F7:$F7,$D7)&gt;0,1,0)+IF($E7="",0,IF(COUNTIF($F7:$F7,$E7)&gt;0,1,0)))/IF($E7="",1,2)))</f>
        <v/>
      </c>
      <c r="O7" s="6">
        <f>IF($C7&lt;&gt;"규정 정답","",IF(COUNTA($F7:$J7)=0,"",IF(M7+N7=0,0,2*M7*N7/(M7+N7))))</f>
        <v/>
      </c>
      <c r="P7" s="6">
        <f>IF($C7&lt;&gt;"규정 정답","",IF(COUNTA($F7:$J7)=0,"",(IF(COUNTIF($F7:$H7,$D7)&gt;0,1,0)+IF($E7="",0,IF(COUNTIF($F7:$H7,$E7)&gt;0,1,0)))/3))</f>
        <v/>
      </c>
      <c r="Q7" s="6">
        <f>IF($C7&lt;&gt;"규정 정답","",IF(COUNTA($F7:$J7)=0,"",(IF(COUNTIF($F7:$H7,$D7)&gt;0,1,0)+IF($E7="",0,IF(COUNTIF($F7:$H7,$E7)&gt;0,1,0)))/IF($E7="",1,2)))</f>
        <v/>
      </c>
      <c r="R7" s="6">
        <f>IF($C7&lt;&gt;"규정 정답","",IF(COUNTA($F7:$J7)=0,"",IF(P7+Q7=0,0,2*P7*Q7/(P7+Q7))))</f>
        <v/>
      </c>
      <c r="S7" s="6">
        <f>IF($C7&lt;&gt;"규정 정답","",IF(COUNTA($F7:$J7)=0,"",(IF(COUNTIF($F7:$J7,$D7)&gt;0,1,0)+IF($E7="",0,IF(COUNTIF($F7:$J7,$E7)&gt;0,1,0)))/5))</f>
        <v/>
      </c>
      <c r="T7" s="6">
        <f>IF($C7&lt;&gt;"규정 정답","",IF(COUNTA($F7:$J7)=0,"",(IF(COUNTIF($F7:$J7,$D7)&gt;0,1,0)+IF($E7="",0,IF(COUNTIF($F7:$J7,$E7)&gt;0,1,0)))/IF($E7="",1,2)))</f>
        <v/>
      </c>
      <c r="U7" s="6">
        <f>IF($C7&lt;&gt;"규정 정답","",IF(COUNTA($F7:$J7)=0,"",IF(S7+T7=0,0,2*S7*T7/(S7+T7))))</f>
        <v/>
      </c>
    </row>
    <row r="8" spans="1:23">
      <c r="A8" t="s">
        <v>47</v>
      </c>
      <c r="B8" s="2" t="s">
        <v>48</v>
      </c>
      <c r="C8" t="s">
        <v>39</v>
      </c>
      <c r="D8" t="s">
        <v>49</v>
      </c>
      <c r="E8" t="s">
        <v>34</v>
      </c>
      <c r="F8" s="7"/>
      <c r="G8" s="7"/>
      <c r="H8" s="7"/>
      <c r="I8" s="7"/>
      <c r="J8" s="7"/>
      <c r="K8" s="6">
        <f>IF($C8&lt;&gt;"규정 정답","",IF(COUNTA($F8:$J8)=0,"",IF(IF(COUNTIF($F8:$H8,$D8)&gt;0,1,0)+IF($E8="",0,IF(COUNTIF($F8:$H8,$E8)&gt;0,1,0))&gt;0,1,0)))</f>
        <v/>
      </c>
      <c r="L8" s="6">
        <f>IF($C8&lt;&gt;"규정 정답","",IF(COUNTA($F8:$J8)=0,"",MAX(IFERROR(1/MATCH($D8,$F8:$J8,0),0),IF($E8="",0,IFERROR(1/MATCH($E8,$F8:$J8,0),0)))))</f>
        <v/>
      </c>
      <c r="M8" s="6">
        <f>IF($C8&lt;&gt;"규정 정답","",IF(COUNTA($F8:$J8)=0,"",(IF(COUNTIF($F8:$F8,$D8)&gt;0,1,0)+IF($E8="",0,IF(COUNTIF($F8:$F8,$E8)&gt;0,1,0)))/1))</f>
        <v/>
      </c>
      <c r="N8" s="6">
        <f>IF($C8&lt;&gt;"규정 정답","",IF(COUNTA($F8:$J8)=0,"",(IF(COUNTIF($F8:$F8,$D8)&gt;0,1,0)+IF($E8="",0,IF(COUNTIF($F8:$F8,$E8)&gt;0,1,0)))/IF($E8="",1,2)))</f>
        <v/>
      </c>
      <c r="O8" s="6">
        <f>IF($C8&lt;&gt;"규정 정답","",IF(COUNTA($F8:$J8)=0,"",IF(M8+N8=0,0,2*M8*N8/(M8+N8))))</f>
        <v/>
      </c>
      <c r="P8" s="6">
        <f>IF($C8&lt;&gt;"규정 정답","",IF(COUNTA($F8:$J8)=0,"",(IF(COUNTIF($F8:$H8,$D8)&gt;0,1,0)+IF($E8="",0,IF(COUNTIF($F8:$H8,$E8)&gt;0,1,0)))/3))</f>
        <v/>
      </c>
      <c r="Q8" s="6">
        <f>IF($C8&lt;&gt;"규정 정답","",IF(COUNTA($F8:$J8)=0,"",(IF(COUNTIF($F8:$H8,$D8)&gt;0,1,0)+IF($E8="",0,IF(COUNTIF($F8:$H8,$E8)&gt;0,1,0)))/IF($E8="",1,2)))</f>
        <v/>
      </c>
      <c r="R8" s="6">
        <f>IF($C8&lt;&gt;"규정 정답","",IF(COUNTA($F8:$J8)=0,"",IF(P8+Q8=0,0,2*P8*Q8/(P8+Q8))))</f>
        <v/>
      </c>
      <c r="S8" s="6">
        <f>IF($C8&lt;&gt;"규정 정답","",IF(COUNTA($F8:$J8)=0,"",(IF(COUNTIF($F8:$J8,$D8)&gt;0,1,0)+IF($E8="",0,IF(COUNTIF($F8:$J8,$E8)&gt;0,1,0)))/5))</f>
        <v/>
      </c>
      <c r="T8" s="6">
        <f>IF($C8&lt;&gt;"규정 정답","",IF(COUNTA($F8:$J8)=0,"",(IF(COUNTIF($F8:$J8,$D8)&gt;0,1,0)+IF($E8="",0,IF(COUNTIF($F8:$J8,$E8)&gt;0,1,0)))/IF($E8="",1,2)))</f>
        <v/>
      </c>
      <c r="U8" s="6">
        <f>IF($C8&lt;&gt;"규정 정답","",IF(COUNTA($F8:$J8)=0,"",IF(S8+T8=0,0,2*S8*T8/(S8+T8))))</f>
        <v/>
      </c>
    </row>
    <row r="9" spans="1:23">
      <c r="A9" t="s">
        <v>50</v>
      </c>
      <c r="B9" s="2" t="s">
        <v>51</v>
      </c>
      <c r="C9" t="s">
        <v>39</v>
      </c>
      <c r="D9" t="s">
        <v>52</v>
      </c>
      <c r="E9" t="s">
        <v>34</v>
      </c>
      <c r="F9" s="7"/>
      <c r="G9" s="7"/>
      <c r="H9" s="7"/>
      <c r="I9" s="7"/>
      <c r="J9" s="7"/>
      <c r="K9" s="6">
        <f>IF($C9&lt;&gt;"규정 정답","",IF(COUNTA($F9:$J9)=0,"",IF(IF(COUNTIF($F9:$H9,$D9)&gt;0,1,0)+IF($E9="",0,IF(COUNTIF($F9:$H9,$E9)&gt;0,1,0))&gt;0,1,0)))</f>
        <v/>
      </c>
      <c r="L9" s="6">
        <f>IF($C9&lt;&gt;"규정 정답","",IF(COUNTA($F9:$J9)=0,"",MAX(IFERROR(1/MATCH($D9,$F9:$J9,0),0),IF($E9="",0,IFERROR(1/MATCH($E9,$F9:$J9,0),0)))))</f>
        <v/>
      </c>
      <c r="M9" s="6">
        <f>IF($C9&lt;&gt;"규정 정답","",IF(COUNTA($F9:$J9)=0,"",(IF(COUNTIF($F9:$F9,$D9)&gt;0,1,0)+IF($E9="",0,IF(COUNTIF($F9:$F9,$E9)&gt;0,1,0)))/1))</f>
        <v/>
      </c>
      <c r="N9" s="6">
        <f>IF($C9&lt;&gt;"규정 정답","",IF(COUNTA($F9:$J9)=0,"",(IF(COUNTIF($F9:$F9,$D9)&gt;0,1,0)+IF($E9="",0,IF(COUNTIF($F9:$F9,$E9)&gt;0,1,0)))/IF($E9="",1,2)))</f>
        <v/>
      </c>
      <c r="O9" s="6">
        <f>IF($C9&lt;&gt;"규정 정답","",IF(COUNTA($F9:$J9)=0,"",IF(M9+N9=0,0,2*M9*N9/(M9+N9))))</f>
        <v/>
      </c>
      <c r="P9" s="6">
        <f>IF($C9&lt;&gt;"규정 정답","",IF(COUNTA($F9:$J9)=0,"",(IF(COUNTIF($F9:$H9,$D9)&gt;0,1,0)+IF($E9="",0,IF(COUNTIF($F9:$H9,$E9)&gt;0,1,0)))/3))</f>
        <v/>
      </c>
      <c r="Q9" s="6">
        <f>IF($C9&lt;&gt;"규정 정답","",IF(COUNTA($F9:$J9)=0,"",(IF(COUNTIF($F9:$H9,$D9)&gt;0,1,0)+IF($E9="",0,IF(COUNTIF($F9:$H9,$E9)&gt;0,1,0)))/IF($E9="",1,2)))</f>
        <v/>
      </c>
      <c r="R9" s="6">
        <f>IF($C9&lt;&gt;"규정 정답","",IF(COUNTA($F9:$J9)=0,"",IF(P9+Q9=0,0,2*P9*Q9/(P9+Q9))))</f>
        <v/>
      </c>
      <c r="S9" s="6">
        <f>IF($C9&lt;&gt;"규정 정답","",IF(COUNTA($F9:$J9)=0,"",(IF(COUNTIF($F9:$J9,$D9)&gt;0,1,0)+IF($E9="",0,IF(COUNTIF($F9:$J9,$E9)&gt;0,1,0)))/5))</f>
        <v/>
      </c>
      <c r="T9" s="6">
        <f>IF($C9&lt;&gt;"규정 정답","",IF(COUNTA($F9:$J9)=0,"",(IF(COUNTIF($F9:$J9,$D9)&gt;0,1,0)+IF($E9="",0,IF(COUNTIF($F9:$J9,$E9)&gt;0,1,0)))/IF($E9="",1,2)))</f>
        <v/>
      </c>
      <c r="U9" s="6">
        <f>IF($C9&lt;&gt;"규정 정답","",IF(COUNTA($F9:$J9)=0,"",IF(S9+T9=0,0,2*S9*T9/(S9+T9))))</f>
        <v/>
      </c>
    </row>
    <row r="10" spans="1:23">
      <c r="A10" t="s">
        <v>53</v>
      </c>
      <c r="B10" s="2" t="s">
        <v>54</v>
      </c>
      <c r="C10" t="s">
        <v>39</v>
      </c>
      <c r="D10" t="s">
        <v>40</v>
      </c>
      <c r="E10" t="s">
        <v>34</v>
      </c>
      <c r="F10" s="7"/>
      <c r="G10" s="7"/>
      <c r="H10" s="7"/>
      <c r="I10" s="7"/>
      <c r="J10" s="7"/>
      <c r="K10" s="6">
        <f>IF($C10&lt;&gt;"규정 정답","",IF(COUNTA($F10:$J10)=0,"",IF(IF(COUNTIF($F10:$H10,$D10)&gt;0,1,0)+IF($E10="",0,IF(COUNTIF($F10:$H10,$E10)&gt;0,1,0))&gt;0,1,0)))</f>
        <v/>
      </c>
      <c r="L10" s="6">
        <f>IF($C10&lt;&gt;"규정 정답","",IF(COUNTA($F10:$J10)=0,"",MAX(IFERROR(1/MATCH($D10,$F10:$J10,0),0),IF($E10="",0,IFERROR(1/MATCH($E10,$F10:$J10,0),0)))))</f>
        <v/>
      </c>
      <c r="M10" s="6">
        <f>IF($C10&lt;&gt;"규정 정답","",IF(COUNTA($F10:$J10)=0,"",(IF(COUNTIF($F10:$F10,$D10)&gt;0,1,0)+IF($E10="",0,IF(COUNTIF($F10:$F10,$E10)&gt;0,1,0)))/1))</f>
        <v/>
      </c>
      <c r="N10" s="6">
        <f>IF($C10&lt;&gt;"규정 정답","",IF(COUNTA($F10:$J10)=0,"",(IF(COUNTIF($F10:$F10,$D10)&gt;0,1,0)+IF($E10="",0,IF(COUNTIF($F10:$F10,$E10)&gt;0,1,0)))/IF($E10="",1,2)))</f>
        <v/>
      </c>
      <c r="O10" s="6">
        <f>IF($C10&lt;&gt;"규정 정답","",IF(COUNTA($F10:$J10)=0,"",IF(M10+N10=0,0,2*M10*N10/(M10+N10))))</f>
        <v/>
      </c>
      <c r="P10" s="6">
        <f>IF($C10&lt;&gt;"규정 정답","",IF(COUNTA($F10:$J10)=0,"",(IF(COUNTIF($F10:$H10,$D10)&gt;0,1,0)+IF($E10="",0,IF(COUNTIF($F10:$H10,$E10)&gt;0,1,0)))/3))</f>
        <v/>
      </c>
      <c r="Q10" s="6">
        <f>IF($C10&lt;&gt;"규정 정답","",IF(COUNTA($F10:$J10)=0,"",(IF(COUNTIF($F10:$H10,$D10)&gt;0,1,0)+IF($E10="",0,IF(COUNTIF($F10:$H10,$E10)&gt;0,1,0)))/IF($E10="",1,2)))</f>
        <v/>
      </c>
      <c r="R10" s="6">
        <f>IF($C10&lt;&gt;"규정 정답","",IF(COUNTA($F10:$J10)=0,"",IF(P10+Q10=0,0,2*P10*Q10/(P10+Q10))))</f>
        <v/>
      </c>
      <c r="S10" s="6">
        <f>IF($C10&lt;&gt;"규정 정답","",IF(COUNTA($F10:$J10)=0,"",(IF(COUNTIF($F10:$J10,$D10)&gt;0,1,0)+IF($E10="",0,IF(COUNTIF($F10:$J10,$E10)&gt;0,1,0)))/5))</f>
        <v/>
      </c>
      <c r="T10" s="6">
        <f>IF($C10&lt;&gt;"규정 정답","",IF(COUNTA($F10:$J10)=0,"",(IF(COUNTIF($F10:$J10,$D10)&gt;0,1,0)+IF($E10="",0,IF(COUNTIF($F10:$J10,$E10)&gt;0,1,0)))/IF($E10="",1,2)))</f>
        <v/>
      </c>
      <c r="U10" s="6">
        <f>IF($C10&lt;&gt;"규정 정답","",IF(COUNTA($F10:$J10)=0,"",IF(S10+T10=0,0,2*S10*T10/(S10+T10))))</f>
        <v/>
      </c>
    </row>
    <row r="11" spans="1:23">
      <c r="A11" s="4" t="s">
        <v>55</v>
      </c>
      <c r="B11" s="5" t="s">
        <v>56</v>
      </c>
      <c r="C11" s="4" t="s">
        <v>33</v>
      </c>
      <c r="D11" s="4" t="s">
        <v>34</v>
      </c>
      <c r="E11" s="4" t="s">
        <v>34</v>
      </c>
      <c r="F11" s="4"/>
      <c r="G11" s="4"/>
      <c r="H11" s="4"/>
      <c r="I11" s="4"/>
      <c r="J11" s="4"/>
      <c r="K11" s="6">
        <f>IF($C11&lt;&gt;"규정 정답","",IF(COUNTA($F11:$J11)=0,"",IF(IF(COUNTIF($F11:$H11,$D11)&gt;0,1,0)+IF($E11="",0,IF(COUNTIF($F11:$H11,$E11)&gt;0,1,0))&gt;0,1,0)))</f>
        <v/>
      </c>
      <c r="L11" s="6">
        <f>IF($C11&lt;&gt;"규정 정답","",IF(COUNTA($F11:$J11)=0,"",MAX(IFERROR(1/MATCH($D11,$F11:$J11,0),0),IF($E11="",0,IFERROR(1/MATCH($E11,$F11:$J11,0),0)))))</f>
        <v/>
      </c>
      <c r="M11" s="6">
        <f>IF($C11&lt;&gt;"규정 정답","",IF(COUNTA($F11:$J11)=0,"",(IF(COUNTIF($F11:$F11,$D11)&gt;0,1,0)+IF($E11="",0,IF(COUNTIF($F11:$F11,$E11)&gt;0,1,0)))/1))</f>
        <v/>
      </c>
      <c r="N11" s="6">
        <f>IF($C11&lt;&gt;"규정 정답","",IF(COUNTA($F11:$J11)=0,"",(IF(COUNTIF($F11:$F11,$D11)&gt;0,1,0)+IF($E11="",0,IF(COUNTIF($F11:$F11,$E11)&gt;0,1,0)))/IF($E11="",1,2)))</f>
        <v/>
      </c>
      <c r="O11" s="6">
        <f>IF($C11&lt;&gt;"규정 정답","",IF(COUNTA($F11:$J11)=0,"",IF(M11+N11=0,0,2*M11*N11/(M11+N11))))</f>
        <v/>
      </c>
      <c r="P11" s="6">
        <f>IF($C11&lt;&gt;"규정 정답","",IF(COUNTA($F11:$J11)=0,"",(IF(COUNTIF($F11:$H11,$D11)&gt;0,1,0)+IF($E11="",0,IF(COUNTIF($F11:$H11,$E11)&gt;0,1,0)))/3))</f>
        <v/>
      </c>
      <c r="Q11" s="6">
        <f>IF($C11&lt;&gt;"규정 정답","",IF(COUNTA($F11:$J11)=0,"",(IF(COUNTIF($F11:$H11,$D11)&gt;0,1,0)+IF($E11="",0,IF(COUNTIF($F11:$H11,$E11)&gt;0,1,0)))/IF($E11="",1,2)))</f>
        <v/>
      </c>
      <c r="R11" s="6">
        <f>IF($C11&lt;&gt;"규정 정답","",IF(COUNTA($F11:$J11)=0,"",IF(P11+Q11=0,0,2*P11*Q11/(P11+Q11))))</f>
        <v/>
      </c>
      <c r="S11" s="6">
        <f>IF($C11&lt;&gt;"규정 정답","",IF(COUNTA($F11:$J11)=0,"",(IF(COUNTIF($F11:$J11,$D11)&gt;0,1,0)+IF($E11="",0,IF(COUNTIF($F11:$J11,$E11)&gt;0,1,0)))/5))</f>
        <v/>
      </c>
      <c r="T11" s="6">
        <f>IF($C11&lt;&gt;"규정 정답","",IF(COUNTA($F11:$J11)=0,"",(IF(COUNTIF($F11:$J11,$D11)&gt;0,1,0)+IF($E11="",0,IF(COUNTIF($F11:$J11,$E11)&gt;0,1,0)))/IF($E11="",1,2)))</f>
        <v/>
      </c>
      <c r="U11" s="6">
        <f>IF($C11&lt;&gt;"규정 정답","",IF(COUNTA($F11:$J11)=0,"",IF(S11+T11=0,0,2*S11*T11/(S11+T11))))</f>
        <v/>
      </c>
    </row>
    <row r="12" spans="1:23">
      <c r="A12" s="4" t="s">
        <v>57</v>
      </c>
      <c r="B12" s="5" t="s">
        <v>58</v>
      </c>
      <c r="C12" s="4" t="s">
        <v>33</v>
      </c>
      <c r="D12" s="4" t="s">
        <v>34</v>
      </c>
      <c r="E12" s="4" t="s">
        <v>34</v>
      </c>
      <c r="F12" s="4"/>
      <c r="G12" s="4"/>
      <c r="H12" s="4"/>
      <c r="I12" s="4"/>
      <c r="J12" s="4"/>
      <c r="K12" s="6">
        <f>IF($C12&lt;&gt;"규정 정답","",IF(COUNTA($F12:$J12)=0,"",IF(IF(COUNTIF($F12:$H12,$D12)&gt;0,1,0)+IF($E12="",0,IF(COUNTIF($F12:$H12,$E12)&gt;0,1,0))&gt;0,1,0)))</f>
        <v/>
      </c>
      <c r="L12" s="6">
        <f>IF($C12&lt;&gt;"규정 정답","",IF(COUNTA($F12:$J12)=0,"",MAX(IFERROR(1/MATCH($D12,$F12:$J12,0),0),IF($E12="",0,IFERROR(1/MATCH($E12,$F12:$J12,0),0)))))</f>
        <v/>
      </c>
      <c r="M12" s="6">
        <f>IF($C12&lt;&gt;"규정 정답","",IF(COUNTA($F12:$J12)=0,"",(IF(COUNTIF($F12:$F12,$D12)&gt;0,1,0)+IF($E12="",0,IF(COUNTIF($F12:$F12,$E12)&gt;0,1,0)))/1))</f>
        <v/>
      </c>
      <c r="N12" s="6">
        <f>IF($C12&lt;&gt;"규정 정답","",IF(COUNTA($F12:$J12)=0,"",(IF(COUNTIF($F12:$F12,$D12)&gt;0,1,0)+IF($E12="",0,IF(COUNTIF($F12:$F12,$E12)&gt;0,1,0)))/IF($E12="",1,2)))</f>
        <v/>
      </c>
      <c r="O12" s="6">
        <f>IF($C12&lt;&gt;"규정 정답","",IF(COUNTA($F12:$J12)=0,"",IF(M12+N12=0,0,2*M12*N12/(M12+N12))))</f>
        <v/>
      </c>
      <c r="P12" s="6">
        <f>IF($C12&lt;&gt;"규정 정답","",IF(COUNTA($F12:$J12)=0,"",(IF(COUNTIF($F12:$H12,$D12)&gt;0,1,0)+IF($E12="",0,IF(COUNTIF($F12:$H12,$E12)&gt;0,1,0)))/3))</f>
        <v/>
      </c>
      <c r="Q12" s="6">
        <f>IF($C12&lt;&gt;"규정 정답","",IF(COUNTA($F12:$J12)=0,"",(IF(COUNTIF($F12:$H12,$D12)&gt;0,1,0)+IF($E12="",0,IF(COUNTIF($F12:$H12,$E12)&gt;0,1,0)))/IF($E12="",1,2)))</f>
        <v/>
      </c>
      <c r="R12" s="6">
        <f>IF($C12&lt;&gt;"규정 정답","",IF(COUNTA($F12:$J12)=0,"",IF(P12+Q12=0,0,2*P12*Q12/(P12+Q12))))</f>
        <v/>
      </c>
      <c r="S12" s="6">
        <f>IF($C12&lt;&gt;"규정 정답","",IF(COUNTA($F12:$J12)=0,"",(IF(COUNTIF($F12:$J12,$D12)&gt;0,1,0)+IF($E12="",0,IF(COUNTIF($F12:$J12,$E12)&gt;0,1,0)))/5))</f>
        <v/>
      </c>
      <c r="T12" s="6">
        <f>IF($C12&lt;&gt;"규정 정답","",IF(COUNTA($F12:$J12)=0,"",(IF(COUNTIF($F12:$J12,$D12)&gt;0,1,0)+IF($E12="",0,IF(COUNTIF($F12:$J12,$E12)&gt;0,1,0)))/IF($E12="",1,2)))</f>
        <v/>
      </c>
      <c r="U12" s="6">
        <f>IF($C12&lt;&gt;"규정 정답","",IF(COUNTA($F12:$J12)=0,"",IF(S12+T12=0,0,2*S12*T12/(S12+T12))))</f>
        <v/>
      </c>
    </row>
    <row r="13" spans="1:23">
      <c r="A13" s="4" t="s">
        <v>59</v>
      </c>
      <c r="B13" s="5" t="s">
        <v>60</v>
      </c>
      <c r="C13" s="4" t="s">
        <v>33</v>
      </c>
      <c r="D13" s="4" t="s">
        <v>34</v>
      </c>
      <c r="E13" s="4" t="s">
        <v>34</v>
      </c>
      <c r="F13" s="4"/>
      <c r="G13" s="4"/>
      <c r="H13" s="4"/>
      <c r="I13" s="4"/>
      <c r="J13" s="4"/>
      <c r="K13" s="6">
        <f>IF($C13&lt;&gt;"규정 정답","",IF(COUNTA($F13:$J13)=0,"",IF(IF(COUNTIF($F13:$H13,$D13)&gt;0,1,0)+IF($E13="",0,IF(COUNTIF($F13:$H13,$E13)&gt;0,1,0))&gt;0,1,0)))</f>
        <v/>
      </c>
      <c r="L13" s="6">
        <f>IF($C13&lt;&gt;"규정 정답","",IF(COUNTA($F13:$J13)=0,"",MAX(IFERROR(1/MATCH($D13,$F13:$J13,0),0),IF($E13="",0,IFERROR(1/MATCH($E13,$F13:$J13,0),0)))))</f>
        <v/>
      </c>
      <c r="M13" s="6">
        <f>IF($C13&lt;&gt;"규정 정답","",IF(COUNTA($F13:$J13)=0,"",(IF(COUNTIF($F13:$F13,$D13)&gt;0,1,0)+IF($E13="",0,IF(COUNTIF($F13:$F13,$E13)&gt;0,1,0)))/1))</f>
        <v/>
      </c>
      <c r="N13" s="6">
        <f>IF($C13&lt;&gt;"규정 정답","",IF(COUNTA($F13:$J13)=0,"",(IF(COUNTIF($F13:$F13,$D13)&gt;0,1,0)+IF($E13="",0,IF(COUNTIF($F13:$F13,$E13)&gt;0,1,0)))/IF($E13="",1,2)))</f>
        <v/>
      </c>
      <c r="O13" s="6">
        <f>IF($C13&lt;&gt;"규정 정답","",IF(COUNTA($F13:$J13)=0,"",IF(M13+N13=0,0,2*M13*N13/(M13+N13))))</f>
        <v/>
      </c>
      <c r="P13" s="6">
        <f>IF($C13&lt;&gt;"규정 정답","",IF(COUNTA($F13:$J13)=0,"",(IF(COUNTIF($F13:$H13,$D13)&gt;0,1,0)+IF($E13="",0,IF(COUNTIF($F13:$H13,$E13)&gt;0,1,0)))/3))</f>
        <v/>
      </c>
      <c r="Q13" s="6">
        <f>IF($C13&lt;&gt;"규정 정답","",IF(COUNTA($F13:$J13)=0,"",(IF(COUNTIF($F13:$H13,$D13)&gt;0,1,0)+IF($E13="",0,IF(COUNTIF($F13:$H13,$E13)&gt;0,1,0)))/IF($E13="",1,2)))</f>
        <v/>
      </c>
      <c r="R13" s="6">
        <f>IF($C13&lt;&gt;"규정 정답","",IF(COUNTA($F13:$J13)=0,"",IF(P13+Q13=0,0,2*P13*Q13/(P13+Q13))))</f>
        <v/>
      </c>
      <c r="S13" s="6">
        <f>IF($C13&lt;&gt;"규정 정답","",IF(COUNTA($F13:$J13)=0,"",(IF(COUNTIF($F13:$J13,$D13)&gt;0,1,0)+IF($E13="",0,IF(COUNTIF($F13:$J13,$E13)&gt;0,1,0)))/5))</f>
        <v/>
      </c>
      <c r="T13" s="6">
        <f>IF($C13&lt;&gt;"규정 정답","",IF(COUNTA($F13:$J13)=0,"",(IF(COUNTIF($F13:$J13,$D13)&gt;0,1,0)+IF($E13="",0,IF(COUNTIF($F13:$J13,$E13)&gt;0,1,0)))/IF($E13="",1,2)))</f>
        <v/>
      </c>
      <c r="U13" s="6">
        <f>IF($C13&lt;&gt;"규정 정답","",IF(COUNTA($F13:$J13)=0,"",IF(S13+T13=0,0,2*S13*T13/(S13+T13))))</f>
        <v/>
      </c>
    </row>
    <row r="14" spans="1:23">
      <c r="A14" t="s">
        <v>61</v>
      </c>
      <c r="B14" s="2" t="s">
        <v>62</v>
      </c>
      <c r="C14" t="s">
        <v>39</v>
      </c>
      <c r="D14" t="s">
        <v>40</v>
      </c>
      <c r="E14" t="s">
        <v>34</v>
      </c>
      <c r="F14" s="7"/>
      <c r="G14" s="7"/>
      <c r="H14" s="7"/>
      <c r="I14" s="7"/>
      <c r="J14" s="7"/>
      <c r="K14" s="6">
        <f>IF($C14&lt;&gt;"규정 정답","",IF(COUNTA($F14:$J14)=0,"",IF(IF(COUNTIF($F14:$H14,$D14)&gt;0,1,0)+IF($E14="",0,IF(COUNTIF($F14:$H14,$E14)&gt;0,1,0))&gt;0,1,0)))</f>
        <v/>
      </c>
      <c r="L14" s="6">
        <f>IF($C14&lt;&gt;"규정 정답","",IF(COUNTA($F14:$J14)=0,"",MAX(IFERROR(1/MATCH($D14,$F14:$J14,0),0),IF($E14="",0,IFERROR(1/MATCH($E14,$F14:$J14,0),0)))))</f>
        <v/>
      </c>
      <c r="M14" s="6">
        <f>IF($C14&lt;&gt;"규정 정답","",IF(COUNTA($F14:$J14)=0,"",(IF(COUNTIF($F14:$F14,$D14)&gt;0,1,0)+IF($E14="",0,IF(COUNTIF($F14:$F14,$E14)&gt;0,1,0)))/1))</f>
        <v/>
      </c>
      <c r="N14" s="6">
        <f>IF($C14&lt;&gt;"규정 정답","",IF(COUNTA($F14:$J14)=0,"",(IF(COUNTIF($F14:$F14,$D14)&gt;0,1,0)+IF($E14="",0,IF(COUNTIF($F14:$F14,$E14)&gt;0,1,0)))/IF($E14="",1,2)))</f>
        <v/>
      </c>
      <c r="O14" s="6">
        <f>IF($C14&lt;&gt;"규정 정답","",IF(COUNTA($F14:$J14)=0,"",IF(M14+N14=0,0,2*M14*N14/(M14+N14))))</f>
        <v/>
      </c>
      <c r="P14" s="6">
        <f>IF($C14&lt;&gt;"규정 정답","",IF(COUNTA($F14:$J14)=0,"",(IF(COUNTIF($F14:$H14,$D14)&gt;0,1,0)+IF($E14="",0,IF(COUNTIF($F14:$H14,$E14)&gt;0,1,0)))/3))</f>
        <v/>
      </c>
      <c r="Q14" s="6">
        <f>IF($C14&lt;&gt;"규정 정답","",IF(COUNTA($F14:$J14)=0,"",(IF(COUNTIF($F14:$H14,$D14)&gt;0,1,0)+IF($E14="",0,IF(COUNTIF($F14:$H14,$E14)&gt;0,1,0)))/IF($E14="",1,2)))</f>
        <v/>
      </c>
      <c r="R14" s="6">
        <f>IF($C14&lt;&gt;"규정 정답","",IF(COUNTA($F14:$J14)=0,"",IF(P14+Q14=0,0,2*P14*Q14/(P14+Q14))))</f>
        <v/>
      </c>
      <c r="S14" s="6">
        <f>IF($C14&lt;&gt;"규정 정답","",IF(COUNTA($F14:$J14)=0,"",(IF(COUNTIF($F14:$J14,$D14)&gt;0,1,0)+IF($E14="",0,IF(COUNTIF($F14:$J14,$E14)&gt;0,1,0)))/5))</f>
        <v/>
      </c>
      <c r="T14" s="6">
        <f>IF($C14&lt;&gt;"규정 정답","",IF(COUNTA($F14:$J14)=0,"",(IF(COUNTIF($F14:$J14,$D14)&gt;0,1,0)+IF($E14="",0,IF(COUNTIF($F14:$J14,$E14)&gt;0,1,0)))/IF($E14="",1,2)))</f>
        <v/>
      </c>
      <c r="U14" s="6">
        <f>IF($C14&lt;&gt;"규정 정답","",IF(COUNTA($F14:$J14)=0,"",IF(S14+T14=0,0,2*S14*T14/(S14+T14))))</f>
        <v/>
      </c>
    </row>
    <row r="15" spans="1:23">
      <c r="A15" t="s">
        <v>63</v>
      </c>
      <c r="B15" s="2" t="s">
        <v>64</v>
      </c>
      <c r="C15" t="s">
        <v>39</v>
      </c>
      <c r="D15" t="s">
        <v>40</v>
      </c>
      <c r="E15" t="s">
        <v>34</v>
      </c>
      <c r="F15" s="7"/>
      <c r="G15" s="7"/>
      <c r="H15" s="7"/>
      <c r="I15" s="7"/>
      <c r="J15" s="7"/>
      <c r="K15" s="6">
        <f>IF($C15&lt;&gt;"규정 정답","",IF(COUNTA($F15:$J15)=0,"",IF(IF(COUNTIF($F15:$H15,$D15)&gt;0,1,0)+IF($E15="",0,IF(COUNTIF($F15:$H15,$E15)&gt;0,1,0))&gt;0,1,0)))</f>
        <v/>
      </c>
      <c r="L15" s="6">
        <f>IF($C15&lt;&gt;"규정 정답","",IF(COUNTA($F15:$J15)=0,"",MAX(IFERROR(1/MATCH($D15,$F15:$J15,0),0),IF($E15="",0,IFERROR(1/MATCH($E15,$F15:$J15,0),0)))))</f>
        <v/>
      </c>
      <c r="M15" s="6">
        <f>IF($C15&lt;&gt;"규정 정답","",IF(COUNTA($F15:$J15)=0,"",(IF(COUNTIF($F15:$F15,$D15)&gt;0,1,0)+IF($E15="",0,IF(COUNTIF($F15:$F15,$E15)&gt;0,1,0)))/1))</f>
        <v/>
      </c>
      <c r="N15" s="6">
        <f>IF($C15&lt;&gt;"규정 정답","",IF(COUNTA($F15:$J15)=0,"",(IF(COUNTIF($F15:$F15,$D15)&gt;0,1,0)+IF($E15="",0,IF(COUNTIF($F15:$F15,$E15)&gt;0,1,0)))/IF($E15="",1,2)))</f>
        <v/>
      </c>
      <c r="O15" s="6">
        <f>IF($C15&lt;&gt;"규정 정답","",IF(COUNTA($F15:$J15)=0,"",IF(M15+N15=0,0,2*M15*N15/(M15+N15))))</f>
        <v/>
      </c>
      <c r="P15" s="6">
        <f>IF($C15&lt;&gt;"규정 정답","",IF(COUNTA($F15:$J15)=0,"",(IF(COUNTIF($F15:$H15,$D15)&gt;0,1,0)+IF($E15="",0,IF(COUNTIF($F15:$H15,$E15)&gt;0,1,0)))/3))</f>
        <v/>
      </c>
      <c r="Q15" s="6">
        <f>IF($C15&lt;&gt;"규정 정답","",IF(COUNTA($F15:$J15)=0,"",(IF(COUNTIF($F15:$H15,$D15)&gt;0,1,0)+IF($E15="",0,IF(COUNTIF($F15:$H15,$E15)&gt;0,1,0)))/IF($E15="",1,2)))</f>
        <v/>
      </c>
      <c r="R15" s="6">
        <f>IF($C15&lt;&gt;"규정 정답","",IF(COUNTA($F15:$J15)=0,"",IF(P15+Q15=0,0,2*P15*Q15/(P15+Q15))))</f>
        <v/>
      </c>
      <c r="S15" s="6">
        <f>IF($C15&lt;&gt;"규정 정답","",IF(COUNTA($F15:$J15)=0,"",(IF(COUNTIF($F15:$J15,$D15)&gt;0,1,0)+IF($E15="",0,IF(COUNTIF($F15:$J15,$E15)&gt;0,1,0)))/5))</f>
        <v/>
      </c>
      <c r="T15" s="6">
        <f>IF($C15&lt;&gt;"규정 정답","",IF(COUNTA($F15:$J15)=0,"",(IF(COUNTIF($F15:$J15,$D15)&gt;0,1,0)+IF($E15="",0,IF(COUNTIF($F15:$J15,$E15)&gt;0,1,0)))/IF($E15="",1,2)))</f>
        <v/>
      </c>
      <c r="U15" s="6">
        <f>IF($C15&lt;&gt;"규정 정답","",IF(COUNTA($F15:$J15)=0,"",IF(S15+T15=0,0,2*S15*T15/(S15+T15))))</f>
        <v/>
      </c>
    </row>
    <row r="16" spans="1:23">
      <c r="A16" t="s">
        <v>65</v>
      </c>
      <c r="B16" s="2" t="s">
        <v>66</v>
      </c>
      <c r="C16" t="s">
        <v>39</v>
      </c>
      <c r="D16" t="s">
        <v>67</v>
      </c>
      <c r="E16" t="s">
        <v>34</v>
      </c>
      <c r="F16" s="7"/>
      <c r="G16" s="7"/>
      <c r="H16" s="7"/>
      <c r="I16" s="7"/>
      <c r="J16" s="7"/>
      <c r="K16" s="6">
        <f>IF($C16&lt;&gt;"규정 정답","",IF(COUNTA($F16:$J16)=0,"",IF(IF(COUNTIF($F16:$H16,$D16)&gt;0,1,0)+IF($E16="",0,IF(COUNTIF($F16:$H16,$E16)&gt;0,1,0))&gt;0,1,0)))</f>
        <v/>
      </c>
      <c r="L16" s="6">
        <f>IF($C16&lt;&gt;"규정 정답","",IF(COUNTA($F16:$J16)=0,"",MAX(IFERROR(1/MATCH($D16,$F16:$J16,0),0),IF($E16="",0,IFERROR(1/MATCH($E16,$F16:$J16,0),0)))))</f>
        <v/>
      </c>
      <c r="M16" s="6">
        <f>IF($C16&lt;&gt;"규정 정답","",IF(COUNTA($F16:$J16)=0,"",(IF(COUNTIF($F16:$F16,$D16)&gt;0,1,0)+IF($E16="",0,IF(COUNTIF($F16:$F16,$E16)&gt;0,1,0)))/1))</f>
        <v/>
      </c>
      <c r="N16" s="6">
        <f>IF($C16&lt;&gt;"규정 정답","",IF(COUNTA($F16:$J16)=0,"",(IF(COUNTIF($F16:$F16,$D16)&gt;0,1,0)+IF($E16="",0,IF(COUNTIF($F16:$F16,$E16)&gt;0,1,0)))/IF($E16="",1,2)))</f>
        <v/>
      </c>
      <c r="O16" s="6">
        <f>IF($C16&lt;&gt;"규정 정답","",IF(COUNTA($F16:$J16)=0,"",IF(M16+N16=0,0,2*M16*N16/(M16+N16))))</f>
        <v/>
      </c>
      <c r="P16" s="6">
        <f>IF($C16&lt;&gt;"규정 정답","",IF(COUNTA($F16:$J16)=0,"",(IF(COUNTIF($F16:$H16,$D16)&gt;0,1,0)+IF($E16="",0,IF(COUNTIF($F16:$H16,$E16)&gt;0,1,0)))/3))</f>
        <v/>
      </c>
      <c r="Q16" s="6">
        <f>IF($C16&lt;&gt;"규정 정답","",IF(COUNTA($F16:$J16)=0,"",(IF(COUNTIF($F16:$H16,$D16)&gt;0,1,0)+IF($E16="",0,IF(COUNTIF($F16:$H16,$E16)&gt;0,1,0)))/IF($E16="",1,2)))</f>
        <v/>
      </c>
      <c r="R16" s="6">
        <f>IF($C16&lt;&gt;"규정 정답","",IF(COUNTA($F16:$J16)=0,"",IF(P16+Q16=0,0,2*P16*Q16/(P16+Q16))))</f>
        <v/>
      </c>
      <c r="S16" s="6">
        <f>IF($C16&lt;&gt;"규정 정답","",IF(COUNTA($F16:$J16)=0,"",(IF(COUNTIF($F16:$J16,$D16)&gt;0,1,0)+IF($E16="",0,IF(COUNTIF($F16:$J16,$E16)&gt;0,1,0)))/5))</f>
        <v/>
      </c>
      <c r="T16" s="6">
        <f>IF($C16&lt;&gt;"규정 정답","",IF(COUNTA($F16:$J16)=0,"",(IF(COUNTIF($F16:$J16,$D16)&gt;0,1,0)+IF($E16="",0,IF(COUNTIF($F16:$J16,$E16)&gt;0,1,0)))/IF($E16="",1,2)))</f>
        <v/>
      </c>
      <c r="U16" s="6">
        <f>IF($C16&lt;&gt;"규정 정답","",IF(COUNTA($F16:$J16)=0,"",IF(S16+T16=0,0,2*S16*T16/(S16+T16))))</f>
        <v/>
      </c>
    </row>
    <row r="17" spans="1:21">
      <c r="A17" t="s">
        <v>68</v>
      </c>
      <c r="B17" s="2" t="s">
        <v>69</v>
      </c>
      <c r="C17" t="s">
        <v>39</v>
      </c>
      <c r="D17" t="s">
        <v>70</v>
      </c>
      <c r="E17" t="s">
        <v>34</v>
      </c>
      <c r="F17" s="7"/>
      <c r="G17" s="7"/>
      <c r="H17" s="7"/>
      <c r="I17" s="7"/>
      <c r="J17" s="7"/>
      <c r="K17" s="6">
        <f>IF($C17&lt;&gt;"규정 정답","",IF(COUNTA($F17:$J17)=0,"",IF(IF(COUNTIF($F17:$H17,$D17)&gt;0,1,0)+IF($E17="",0,IF(COUNTIF($F17:$H17,$E17)&gt;0,1,0))&gt;0,1,0)))</f>
        <v/>
      </c>
      <c r="L17" s="6">
        <f>IF($C17&lt;&gt;"규정 정답","",IF(COUNTA($F17:$J17)=0,"",MAX(IFERROR(1/MATCH($D17,$F17:$J17,0),0),IF($E17="",0,IFERROR(1/MATCH($E17,$F17:$J17,0),0)))))</f>
        <v/>
      </c>
      <c r="M17" s="6">
        <f>IF($C17&lt;&gt;"규정 정답","",IF(COUNTA($F17:$J17)=0,"",(IF(COUNTIF($F17:$F17,$D17)&gt;0,1,0)+IF($E17="",0,IF(COUNTIF($F17:$F17,$E17)&gt;0,1,0)))/1))</f>
        <v/>
      </c>
      <c r="N17" s="6">
        <f>IF($C17&lt;&gt;"규정 정답","",IF(COUNTA($F17:$J17)=0,"",(IF(COUNTIF($F17:$F17,$D17)&gt;0,1,0)+IF($E17="",0,IF(COUNTIF($F17:$F17,$E17)&gt;0,1,0)))/IF($E17="",1,2)))</f>
        <v/>
      </c>
      <c r="O17" s="6">
        <f>IF($C17&lt;&gt;"규정 정답","",IF(COUNTA($F17:$J17)=0,"",IF(M17+N17=0,0,2*M17*N17/(M17+N17))))</f>
        <v/>
      </c>
      <c r="P17" s="6">
        <f>IF($C17&lt;&gt;"규정 정답","",IF(COUNTA($F17:$J17)=0,"",(IF(COUNTIF($F17:$H17,$D17)&gt;0,1,0)+IF($E17="",0,IF(COUNTIF($F17:$H17,$E17)&gt;0,1,0)))/3))</f>
        <v/>
      </c>
      <c r="Q17" s="6">
        <f>IF($C17&lt;&gt;"규정 정답","",IF(COUNTA($F17:$J17)=0,"",(IF(COUNTIF($F17:$H17,$D17)&gt;0,1,0)+IF($E17="",0,IF(COUNTIF($F17:$H17,$E17)&gt;0,1,0)))/IF($E17="",1,2)))</f>
        <v/>
      </c>
      <c r="R17" s="6">
        <f>IF($C17&lt;&gt;"규정 정답","",IF(COUNTA($F17:$J17)=0,"",IF(P17+Q17=0,0,2*P17*Q17/(P17+Q17))))</f>
        <v/>
      </c>
      <c r="S17" s="6">
        <f>IF($C17&lt;&gt;"규정 정답","",IF(COUNTA($F17:$J17)=0,"",(IF(COUNTIF($F17:$J17,$D17)&gt;0,1,0)+IF($E17="",0,IF(COUNTIF($F17:$J17,$E17)&gt;0,1,0)))/5))</f>
        <v/>
      </c>
      <c r="T17" s="6">
        <f>IF($C17&lt;&gt;"규정 정답","",IF(COUNTA($F17:$J17)=0,"",(IF(COUNTIF($F17:$J17,$D17)&gt;0,1,0)+IF($E17="",0,IF(COUNTIF($F17:$J17,$E17)&gt;0,1,0)))/IF($E17="",1,2)))</f>
        <v/>
      </c>
      <c r="U17" s="6">
        <f>IF($C17&lt;&gt;"규정 정답","",IF(COUNTA($F17:$J17)=0,"",IF(S17+T17=0,0,2*S17*T17/(S17+T17))))</f>
        <v/>
      </c>
    </row>
    <row r="18" spans="1:21">
      <c r="A18" t="s">
        <v>71</v>
      </c>
      <c r="B18" s="2" t="s">
        <v>72</v>
      </c>
      <c r="C18" t="s">
        <v>39</v>
      </c>
      <c r="D18" t="s">
        <v>73</v>
      </c>
      <c r="E18" t="s">
        <v>34</v>
      </c>
      <c r="F18" s="7"/>
      <c r="G18" s="7"/>
      <c r="H18" s="7"/>
      <c r="I18" s="7"/>
      <c r="J18" s="7"/>
      <c r="K18" s="6">
        <f>IF($C18&lt;&gt;"규정 정답","",IF(COUNTA($F18:$J18)=0,"",IF(IF(COUNTIF($F18:$H18,$D18)&gt;0,1,0)+IF($E18="",0,IF(COUNTIF($F18:$H18,$E18)&gt;0,1,0))&gt;0,1,0)))</f>
        <v/>
      </c>
      <c r="L18" s="6">
        <f>IF($C18&lt;&gt;"규정 정답","",IF(COUNTA($F18:$J18)=0,"",MAX(IFERROR(1/MATCH($D18,$F18:$J18,0),0),IF($E18="",0,IFERROR(1/MATCH($E18,$F18:$J18,0),0)))))</f>
        <v/>
      </c>
      <c r="M18" s="6">
        <f>IF($C18&lt;&gt;"규정 정답","",IF(COUNTA($F18:$J18)=0,"",(IF(COUNTIF($F18:$F18,$D18)&gt;0,1,0)+IF($E18="",0,IF(COUNTIF($F18:$F18,$E18)&gt;0,1,0)))/1))</f>
        <v/>
      </c>
      <c r="N18" s="6">
        <f>IF($C18&lt;&gt;"규정 정답","",IF(COUNTA($F18:$J18)=0,"",(IF(COUNTIF($F18:$F18,$D18)&gt;0,1,0)+IF($E18="",0,IF(COUNTIF($F18:$F18,$E18)&gt;0,1,0)))/IF($E18="",1,2)))</f>
        <v/>
      </c>
      <c r="O18" s="6">
        <f>IF($C18&lt;&gt;"규정 정답","",IF(COUNTA($F18:$J18)=0,"",IF(M18+N18=0,0,2*M18*N18/(M18+N18))))</f>
        <v/>
      </c>
      <c r="P18" s="6">
        <f>IF($C18&lt;&gt;"규정 정답","",IF(COUNTA($F18:$J18)=0,"",(IF(COUNTIF($F18:$H18,$D18)&gt;0,1,0)+IF($E18="",0,IF(COUNTIF($F18:$H18,$E18)&gt;0,1,0)))/3))</f>
        <v/>
      </c>
      <c r="Q18" s="6">
        <f>IF($C18&lt;&gt;"규정 정답","",IF(COUNTA($F18:$J18)=0,"",(IF(COUNTIF($F18:$H18,$D18)&gt;0,1,0)+IF($E18="",0,IF(COUNTIF($F18:$H18,$E18)&gt;0,1,0)))/IF($E18="",1,2)))</f>
        <v/>
      </c>
      <c r="R18" s="6">
        <f>IF($C18&lt;&gt;"규정 정답","",IF(COUNTA($F18:$J18)=0,"",IF(P18+Q18=0,0,2*P18*Q18/(P18+Q18))))</f>
        <v/>
      </c>
      <c r="S18" s="6">
        <f>IF($C18&lt;&gt;"규정 정답","",IF(COUNTA($F18:$J18)=0,"",(IF(COUNTIF($F18:$J18,$D18)&gt;0,1,0)+IF($E18="",0,IF(COUNTIF($F18:$J18,$E18)&gt;0,1,0)))/5))</f>
        <v/>
      </c>
      <c r="T18" s="6">
        <f>IF($C18&lt;&gt;"규정 정답","",IF(COUNTA($F18:$J18)=0,"",(IF(COUNTIF($F18:$J18,$D18)&gt;0,1,0)+IF($E18="",0,IF(COUNTIF($F18:$J18,$E18)&gt;0,1,0)))/IF($E18="",1,2)))</f>
        <v/>
      </c>
      <c r="U18" s="6">
        <f>IF($C18&lt;&gt;"규정 정답","",IF(COUNTA($F18:$J18)=0,"",IF(S18+T18=0,0,2*S18*T18/(S18+T18))))</f>
        <v/>
      </c>
    </row>
    <row r="19" spans="1:21">
      <c r="A19" t="s">
        <v>74</v>
      </c>
      <c r="B19" s="2" t="s">
        <v>75</v>
      </c>
      <c r="C19" t="s">
        <v>39</v>
      </c>
      <c r="D19" t="s">
        <v>73</v>
      </c>
      <c r="E19" t="s">
        <v>34</v>
      </c>
      <c r="F19" s="7"/>
      <c r="G19" s="7"/>
      <c r="H19" s="7"/>
      <c r="I19" s="7"/>
      <c r="J19" s="7"/>
      <c r="K19" s="6">
        <f>IF($C19&lt;&gt;"규정 정답","",IF(COUNTA($F19:$J19)=0,"",IF(IF(COUNTIF($F19:$H19,$D19)&gt;0,1,0)+IF($E19="",0,IF(COUNTIF($F19:$H19,$E19)&gt;0,1,0))&gt;0,1,0)))</f>
        <v/>
      </c>
      <c r="L19" s="6">
        <f>IF($C19&lt;&gt;"규정 정답","",IF(COUNTA($F19:$J19)=0,"",MAX(IFERROR(1/MATCH($D19,$F19:$J19,0),0),IF($E19="",0,IFERROR(1/MATCH($E19,$F19:$J19,0),0)))))</f>
        <v/>
      </c>
      <c r="M19" s="6">
        <f>IF($C19&lt;&gt;"규정 정답","",IF(COUNTA($F19:$J19)=0,"",(IF(COUNTIF($F19:$F19,$D19)&gt;0,1,0)+IF($E19="",0,IF(COUNTIF($F19:$F19,$E19)&gt;0,1,0)))/1))</f>
        <v/>
      </c>
      <c r="N19" s="6">
        <f>IF($C19&lt;&gt;"규정 정답","",IF(COUNTA($F19:$J19)=0,"",(IF(COUNTIF($F19:$F19,$D19)&gt;0,1,0)+IF($E19="",0,IF(COUNTIF($F19:$F19,$E19)&gt;0,1,0)))/IF($E19="",1,2)))</f>
        <v/>
      </c>
      <c r="O19" s="6">
        <f>IF($C19&lt;&gt;"규정 정답","",IF(COUNTA($F19:$J19)=0,"",IF(M19+N19=0,0,2*M19*N19/(M19+N19))))</f>
        <v/>
      </c>
      <c r="P19" s="6">
        <f>IF($C19&lt;&gt;"규정 정답","",IF(COUNTA($F19:$J19)=0,"",(IF(COUNTIF($F19:$H19,$D19)&gt;0,1,0)+IF($E19="",0,IF(COUNTIF($F19:$H19,$E19)&gt;0,1,0)))/3))</f>
        <v/>
      </c>
      <c r="Q19" s="6">
        <f>IF($C19&lt;&gt;"규정 정답","",IF(COUNTA($F19:$J19)=0,"",(IF(COUNTIF($F19:$H19,$D19)&gt;0,1,0)+IF($E19="",0,IF(COUNTIF($F19:$H19,$E19)&gt;0,1,0)))/IF($E19="",1,2)))</f>
        <v/>
      </c>
      <c r="R19" s="6">
        <f>IF($C19&lt;&gt;"규정 정답","",IF(COUNTA($F19:$J19)=0,"",IF(P19+Q19=0,0,2*P19*Q19/(P19+Q19))))</f>
        <v/>
      </c>
      <c r="S19" s="6">
        <f>IF($C19&lt;&gt;"규정 정답","",IF(COUNTA($F19:$J19)=0,"",(IF(COUNTIF($F19:$J19,$D19)&gt;0,1,0)+IF($E19="",0,IF(COUNTIF($F19:$J19,$E19)&gt;0,1,0)))/5))</f>
        <v/>
      </c>
      <c r="T19" s="6">
        <f>IF($C19&lt;&gt;"규정 정답","",IF(COUNTA($F19:$J19)=0,"",(IF(COUNTIF($F19:$J19,$D19)&gt;0,1,0)+IF($E19="",0,IF(COUNTIF($F19:$J19,$E19)&gt;0,1,0)))/IF($E19="",1,2)))</f>
        <v/>
      </c>
      <c r="U19" s="6">
        <f>IF($C19&lt;&gt;"규정 정답","",IF(COUNTA($F19:$J19)=0,"",IF(S19+T19=0,0,2*S19*T19/(S19+T19))))</f>
        <v/>
      </c>
    </row>
    <row r="20" spans="1:21">
      <c r="A20" s="4" t="s">
        <v>76</v>
      </c>
      <c r="B20" s="5" t="s">
        <v>77</v>
      </c>
      <c r="C20" s="4" t="s">
        <v>78</v>
      </c>
      <c r="D20" s="4" t="s">
        <v>34</v>
      </c>
      <c r="E20" s="4" t="s">
        <v>34</v>
      </c>
      <c r="F20" s="4"/>
      <c r="G20" s="4"/>
      <c r="H20" s="4"/>
      <c r="I20" s="4"/>
      <c r="J20" s="4"/>
      <c r="K20" s="6">
        <f>IF($C20&lt;&gt;"규정 정답","",IF(COUNTA($F20:$J20)=0,"",IF(IF(COUNTIF($F20:$H20,$D20)&gt;0,1,0)+IF($E20="",0,IF(COUNTIF($F20:$H20,$E20)&gt;0,1,0))&gt;0,1,0)))</f>
        <v/>
      </c>
      <c r="L20" s="6">
        <f>IF($C20&lt;&gt;"규정 정답","",IF(COUNTA($F20:$J20)=0,"",MAX(IFERROR(1/MATCH($D20,$F20:$J20,0),0),IF($E20="",0,IFERROR(1/MATCH($E20,$F20:$J20,0),0)))))</f>
        <v/>
      </c>
      <c r="M20" s="6">
        <f>IF($C20&lt;&gt;"규정 정답","",IF(COUNTA($F20:$J20)=0,"",(IF(COUNTIF($F20:$F20,$D20)&gt;0,1,0)+IF($E20="",0,IF(COUNTIF($F20:$F20,$E20)&gt;0,1,0)))/1))</f>
        <v/>
      </c>
      <c r="N20" s="6">
        <f>IF($C20&lt;&gt;"규정 정답","",IF(COUNTA($F20:$J20)=0,"",(IF(COUNTIF($F20:$F20,$D20)&gt;0,1,0)+IF($E20="",0,IF(COUNTIF($F20:$F20,$E20)&gt;0,1,0)))/IF($E20="",1,2)))</f>
        <v/>
      </c>
      <c r="O20" s="6">
        <f>IF($C20&lt;&gt;"규정 정답","",IF(COUNTA($F20:$J20)=0,"",IF(M20+N20=0,0,2*M20*N20/(M20+N20))))</f>
        <v/>
      </c>
      <c r="P20" s="6">
        <f>IF($C20&lt;&gt;"규정 정답","",IF(COUNTA($F20:$J20)=0,"",(IF(COUNTIF($F20:$H20,$D20)&gt;0,1,0)+IF($E20="",0,IF(COUNTIF($F20:$H20,$E20)&gt;0,1,0)))/3))</f>
        <v/>
      </c>
      <c r="Q20" s="6">
        <f>IF($C20&lt;&gt;"규정 정답","",IF(COUNTA($F20:$J20)=0,"",(IF(COUNTIF($F20:$H20,$D20)&gt;0,1,0)+IF($E20="",0,IF(COUNTIF($F20:$H20,$E20)&gt;0,1,0)))/IF($E20="",1,2)))</f>
        <v/>
      </c>
      <c r="R20" s="6">
        <f>IF($C20&lt;&gt;"규정 정답","",IF(COUNTA($F20:$J20)=0,"",IF(P20+Q20=0,0,2*P20*Q20/(P20+Q20))))</f>
        <v/>
      </c>
      <c r="S20" s="6">
        <f>IF($C20&lt;&gt;"규정 정답","",IF(COUNTA($F20:$J20)=0,"",(IF(COUNTIF($F20:$J20,$D20)&gt;0,1,0)+IF($E20="",0,IF(COUNTIF($F20:$J20,$E20)&gt;0,1,0)))/5))</f>
        <v/>
      </c>
      <c r="T20" s="6">
        <f>IF($C20&lt;&gt;"규정 정답","",IF(COUNTA($F20:$J20)=0,"",(IF(COUNTIF($F20:$J20,$D20)&gt;0,1,0)+IF($E20="",0,IF(COUNTIF($F20:$J20,$E20)&gt;0,1,0)))/IF($E20="",1,2)))</f>
        <v/>
      </c>
      <c r="U20" s="6">
        <f>IF($C20&lt;&gt;"규정 정답","",IF(COUNTA($F20:$J20)=0,"",IF(S20+T20=0,0,2*S20*T20/(S20+T20))))</f>
        <v/>
      </c>
    </row>
    <row r="21" spans="1:21">
      <c r="A21" s="4" t="s">
        <v>79</v>
      </c>
      <c r="B21" s="5" t="s">
        <v>80</v>
      </c>
      <c r="C21" s="4" t="s">
        <v>78</v>
      </c>
      <c r="D21" s="4" t="s">
        <v>34</v>
      </c>
      <c r="E21" s="4" t="s">
        <v>34</v>
      </c>
      <c r="F21" s="4"/>
      <c r="G21" s="4"/>
      <c r="H21" s="4"/>
      <c r="I21" s="4"/>
      <c r="J21" s="4"/>
      <c r="K21" s="6">
        <f>IF($C21&lt;&gt;"규정 정답","",IF(COUNTA($F21:$J21)=0,"",IF(IF(COUNTIF($F21:$H21,$D21)&gt;0,1,0)+IF($E21="",0,IF(COUNTIF($F21:$H21,$E21)&gt;0,1,0))&gt;0,1,0)))</f>
        <v/>
      </c>
      <c r="L21" s="6">
        <f>IF($C21&lt;&gt;"규정 정답","",IF(COUNTA($F21:$J21)=0,"",MAX(IFERROR(1/MATCH($D21,$F21:$J21,0),0),IF($E21="",0,IFERROR(1/MATCH($E21,$F21:$J21,0),0)))))</f>
        <v/>
      </c>
      <c r="M21" s="6">
        <f>IF($C21&lt;&gt;"규정 정답","",IF(COUNTA($F21:$J21)=0,"",(IF(COUNTIF($F21:$F21,$D21)&gt;0,1,0)+IF($E21="",0,IF(COUNTIF($F21:$F21,$E21)&gt;0,1,0)))/1))</f>
        <v/>
      </c>
      <c r="N21" s="6">
        <f>IF($C21&lt;&gt;"규정 정답","",IF(COUNTA($F21:$J21)=0,"",(IF(COUNTIF($F21:$F21,$D21)&gt;0,1,0)+IF($E21="",0,IF(COUNTIF($F21:$F21,$E21)&gt;0,1,0)))/IF($E21="",1,2)))</f>
        <v/>
      </c>
      <c r="O21" s="6">
        <f>IF($C21&lt;&gt;"규정 정답","",IF(COUNTA($F21:$J21)=0,"",IF(M21+N21=0,0,2*M21*N21/(M21+N21))))</f>
        <v/>
      </c>
      <c r="P21" s="6">
        <f>IF($C21&lt;&gt;"규정 정답","",IF(COUNTA($F21:$J21)=0,"",(IF(COUNTIF($F21:$H21,$D21)&gt;0,1,0)+IF($E21="",0,IF(COUNTIF($F21:$H21,$E21)&gt;0,1,0)))/3))</f>
        <v/>
      </c>
      <c r="Q21" s="6">
        <f>IF($C21&lt;&gt;"규정 정답","",IF(COUNTA($F21:$J21)=0,"",(IF(COUNTIF($F21:$H21,$D21)&gt;0,1,0)+IF($E21="",0,IF(COUNTIF($F21:$H21,$E21)&gt;0,1,0)))/IF($E21="",1,2)))</f>
        <v/>
      </c>
      <c r="R21" s="6">
        <f>IF($C21&lt;&gt;"규정 정답","",IF(COUNTA($F21:$J21)=0,"",IF(P21+Q21=0,0,2*P21*Q21/(P21+Q21))))</f>
        <v/>
      </c>
      <c r="S21" s="6">
        <f>IF($C21&lt;&gt;"규정 정답","",IF(COUNTA($F21:$J21)=0,"",(IF(COUNTIF($F21:$J21,$D21)&gt;0,1,0)+IF($E21="",0,IF(COUNTIF($F21:$J21,$E21)&gt;0,1,0)))/5))</f>
        <v/>
      </c>
      <c r="T21" s="6">
        <f>IF($C21&lt;&gt;"규정 정답","",IF(COUNTA($F21:$J21)=0,"",(IF(COUNTIF($F21:$J21,$D21)&gt;0,1,0)+IF($E21="",0,IF(COUNTIF($F21:$J21,$E21)&gt;0,1,0)))/IF($E21="",1,2)))</f>
        <v/>
      </c>
      <c r="U21" s="6">
        <f>IF($C21&lt;&gt;"규정 정답","",IF(COUNTA($F21:$J21)=0,"",IF(S21+T21=0,0,2*S21*T21/(S21+T21))))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2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6.7109375" customWidth="1"/>
    <col min="2" max="2" width="46.7109375" customWidth="1"/>
    <col min="3" max="5" width="10.7109375" customWidth="1"/>
    <col min="6" max="12" width="9.7109375" customWidth="1"/>
    <col min="13" max="21" width="8.7109375" customWidth="1"/>
  </cols>
  <sheetData>
    <row r="1" spans="1:23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3" t="s">
        <v>26</v>
      </c>
      <c r="R1" s="3" t="s">
        <v>27</v>
      </c>
      <c r="S1" s="3" t="s">
        <v>28</v>
      </c>
      <c r="T1" s="3" t="s">
        <v>29</v>
      </c>
      <c r="U1" s="3" t="s">
        <v>30</v>
      </c>
      <c r="W1" s="1" t="s">
        <v>82</v>
      </c>
    </row>
    <row r="2" spans="1:23">
      <c r="A2" s="4" t="s">
        <v>31</v>
      </c>
      <c r="B2" s="5" t="s">
        <v>32</v>
      </c>
      <c r="C2" s="4" t="s">
        <v>33</v>
      </c>
      <c r="D2" s="4" t="s">
        <v>34</v>
      </c>
      <c r="E2" s="4" t="s">
        <v>34</v>
      </c>
      <c r="F2" s="4"/>
      <c r="G2" s="4"/>
      <c r="H2" s="4"/>
      <c r="I2" s="4"/>
      <c r="J2" s="4"/>
      <c r="K2" s="6">
        <f>IF($C2&lt;&gt;"규정 정답","",IF(COUNTA($F2:$J2)=0,"",IF(IF(COUNTIF($F2:$H2,$D2)&gt;0,1,0)+IF($E2="",0,IF(COUNTIF($F2:$H2,$E2)&gt;0,1,0))&gt;0,1,0)))</f>
        <v/>
      </c>
      <c r="L2" s="6">
        <f>IF($C2&lt;&gt;"규정 정답","",IF(COUNTA($F2:$J2)=0,"",MAX(IFERROR(1/MATCH($D2,$F2:$J2,0),0),IF($E2="",0,IFERROR(1/MATCH($E2,$F2:$J2,0),0)))))</f>
        <v/>
      </c>
      <c r="M2" s="6">
        <f>IF($C2&lt;&gt;"규정 정답","",IF(COUNTA($F2:$J2)=0,"",(IF(COUNTIF($F2:$F2,$D2)&gt;0,1,0)+IF($E2="",0,IF(COUNTIF($F2:$F2,$E2)&gt;0,1,0)))/1))</f>
        <v/>
      </c>
      <c r="N2" s="6">
        <f>IF($C2&lt;&gt;"규정 정답","",IF(COUNTA($F2:$J2)=0,"",(IF(COUNTIF($F2:$F2,$D2)&gt;0,1,0)+IF($E2="",0,IF(COUNTIF($F2:$F2,$E2)&gt;0,1,0)))/IF($E2="",1,2)))</f>
        <v/>
      </c>
      <c r="O2" s="6">
        <f>IF($C2&lt;&gt;"규정 정답","",IF(COUNTA($F2:$J2)=0,"",IF(M2+N2=0,0,2*M2*N2/(M2+N2))))</f>
        <v/>
      </c>
      <c r="P2" s="6">
        <f>IF($C2&lt;&gt;"규정 정답","",IF(COUNTA($F2:$J2)=0,"",(IF(COUNTIF($F2:$H2,$D2)&gt;0,1,0)+IF($E2="",0,IF(COUNTIF($F2:$H2,$E2)&gt;0,1,0)))/3))</f>
        <v/>
      </c>
      <c r="Q2" s="6">
        <f>IF($C2&lt;&gt;"규정 정답","",IF(COUNTA($F2:$J2)=0,"",(IF(COUNTIF($F2:$H2,$D2)&gt;0,1,0)+IF($E2="",0,IF(COUNTIF($F2:$H2,$E2)&gt;0,1,0)))/IF($E2="",1,2)))</f>
        <v/>
      </c>
      <c r="R2" s="6">
        <f>IF($C2&lt;&gt;"규정 정답","",IF(COUNTA($F2:$J2)=0,"",IF(P2+Q2=0,0,2*P2*Q2/(P2+Q2))))</f>
        <v/>
      </c>
      <c r="S2" s="6">
        <f>IF($C2&lt;&gt;"규정 정답","",IF(COUNTA($F2:$J2)=0,"",(IF(COUNTIF($F2:$J2,$D2)&gt;0,1,0)+IF($E2="",0,IF(COUNTIF($F2:$J2,$E2)&gt;0,1,0)))/5))</f>
        <v/>
      </c>
      <c r="T2" s="6">
        <f>IF($C2&lt;&gt;"규정 정답","",IF(COUNTA($F2:$J2)=0,"",(IF(COUNTIF($F2:$J2,$D2)&gt;0,1,0)+IF($E2="",0,IF(COUNTIF($F2:$J2,$E2)&gt;0,1,0)))/IF($E2="",1,2)))</f>
        <v/>
      </c>
      <c r="U2" s="6">
        <f>IF($C2&lt;&gt;"규정 정답","",IF(COUNTA($F2:$J2)=0,"",IF(S2+T2=0,0,2*S2*T2/(S2+T2))))</f>
        <v/>
      </c>
    </row>
    <row r="3" spans="1:23">
      <c r="A3" s="4" t="s">
        <v>35</v>
      </c>
      <c r="B3" s="5" t="s">
        <v>36</v>
      </c>
      <c r="C3" s="4" t="s">
        <v>33</v>
      </c>
      <c r="D3" s="4" t="s">
        <v>34</v>
      </c>
      <c r="E3" s="4" t="s">
        <v>34</v>
      </c>
      <c r="F3" s="4"/>
      <c r="G3" s="4"/>
      <c r="H3" s="4"/>
      <c r="I3" s="4"/>
      <c r="J3" s="4"/>
      <c r="K3" s="6">
        <f>IF($C3&lt;&gt;"규정 정답","",IF(COUNTA($F3:$J3)=0,"",IF(IF(COUNTIF($F3:$H3,$D3)&gt;0,1,0)+IF($E3="",0,IF(COUNTIF($F3:$H3,$E3)&gt;0,1,0))&gt;0,1,0)))</f>
        <v/>
      </c>
      <c r="L3" s="6">
        <f>IF($C3&lt;&gt;"규정 정답","",IF(COUNTA($F3:$J3)=0,"",MAX(IFERROR(1/MATCH($D3,$F3:$J3,0),0),IF($E3="",0,IFERROR(1/MATCH($E3,$F3:$J3,0),0)))))</f>
        <v/>
      </c>
      <c r="M3" s="6">
        <f>IF($C3&lt;&gt;"규정 정답","",IF(COUNTA($F3:$J3)=0,"",(IF(COUNTIF($F3:$F3,$D3)&gt;0,1,0)+IF($E3="",0,IF(COUNTIF($F3:$F3,$E3)&gt;0,1,0)))/1))</f>
        <v/>
      </c>
      <c r="N3" s="6">
        <f>IF($C3&lt;&gt;"규정 정답","",IF(COUNTA($F3:$J3)=0,"",(IF(COUNTIF($F3:$F3,$D3)&gt;0,1,0)+IF($E3="",0,IF(COUNTIF($F3:$F3,$E3)&gt;0,1,0)))/IF($E3="",1,2)))</f>
        <v/>
      </c>
      <c r="O3" s="6">
        <f>IF($C3&lt;&gt;"규정 정답","",IF(COUNTA($F3:$J3)=0,"",IF(M3+N3=0,0,2*M3*N3/(M3+N3))))</f>
        <v/>
      </c>
      <c r="P3" s="6">
        <f>IF($C3&lt;&gt;"규정 정답","",IF(COUNTA($F3:$J3)=0,"",(IF(COUNTIF($F3:$H3,$D3)&gt;0,1,0)+IF($E3="",0,IF(COUNTIF($F3:$H3,$E3)&gt;0,1,0)))/3))</f>
        <v/>
      </c>
      <c r="Q3" s="6">
        <f>IF($C3&lt;&gt;"규정 정답","",IF(COUNTA($F3:$J3)=0,"",(IF(COUNTIF($F3:$H3,$D3)&gt;0,1,0)+IF($E3="",0,IF(COUNTIF($F3:$H3,$E3)&gt;0,1,0)))/IF($E3="",1,2)))</f>
        <v/>
      </c>
      <c r="R3" s="6">
        <f>IF($C3&lt;&gt;"규정 정답","",IF(COUNTA($F3:$J3)=0,"",IF(P3+Q3=0,0,2*P3*Q3/(P3+Q3))))</f>
        <v/>
      </c>
      <c r="S3" s="6">
        <f>IF($C3&lt;&gt;"규정 정답","",IF(COUNTA($F3:$J3)=0,"",(IF(COUNTIF($F3:$J3,$D3)&gt;0,1,0)+IF($E3="",0,IF(COUNTIF($F3:$J3,$E3)&gt;0,1,0)))/5))</f>
        <v/>
      </c>
      <c r="T3" s="6">
        <f>IF($C3&lt;&gt;"규정 정답","",IF(COUNTA($F3:$J3)=0,"",(IF(COUNTIF($F3:$J3,$D3)&gt;0,1,0)+IF($E3="",0,IF(COUNTIF($F3:$J3,$E3)&gt;0,1,0)))/IF($E3="",1,2)))</f>
        <v/>
      </c>
      <c r="U3" s="6">
        <f>IF($C3&lt;&gt;"규정 정답","",IF(COUNTA($F3:$J3)=0,"",IF(S3+T3=0,0,2*S3*T3/(S3+T3))))</f>
        <v/>
      </c>
    </row>
    <row r="4" spans="1:23">
      <c r="A4" t="s">
        <v>37</v>
      </c>
      <c r="B4" s="2" t="s">
        <v>38</v>
      </c>
      <c r="C4" t="s">
        <v>39</v>
      </c>
      <c r="D4" t="s">
        <v>40</v>
      </c>
      <c r="E4" t="s">
        <v>34</v>
      </c>
      <c r="F4" s="7"/>
      <c r="G4" s="7"/>
      <c r="H4" s="7"/>
      <c r="I4" s="7"/>
      <c r="J4" s="7"/>
      <c r="K4" s="6">
        <f>IF($C4&lt;&gt;"규정 정답","",IF(COUNTA($F4:$J4)=0,"",IF(IF(COUNTIF($F4:$H4,$D4)&gt;0,1,0)+IF($E4="",0,IF(COUNTIF($F4:$H4,$E4)&gt;0,1,0))&gt;0,1,0)))</f>
        <v/>
      </c>
      <c r="L4" s="6">
        <f>IF($C4&lt;&gt;"규정 정답","",IF(COUNTA($F4:$J4)=0,"",MAX(IFERROR(1/MATCH($D4,$F4:$J4,0),0),IF($E4="",0,IFERROR(1/MATCH($E4,$F4:$J4,0),0)))))</f>
        <v/>
      </c>
      <c r="M4" s="6">
        <f>IF($C4&lt;&gt;"규정 정답","",IF(COUNTA($F4:$J4)=0,"",(IF(COUNTIF($F4:$F4,$D4)&gt;0,1,0)+IF($E4="",0,IF(COUNTIF($F4:$F4,$E4)&gt;0,1,0)))/1))</f>
        <v/>
      </c>
      <c r="N4" s="6">
        <f>IF($C4&lt;&gt;"규정 정답","",IF(COUNTA($F4:$J4)=0,"",(IF(COUNTIF($F4:$F4,$D4)&gt;0,1,0)+IF($E4="",0,IF(COUNTIF($F4:$F4,$E4)&gt;0,1,0)))/IF($E4="",1,2)))</f>
        <v/>
      </c>
      <c r="O4" s="6">
        <f>IF($C4&lt;&gt;"규정 정답","",IF(COUNTA($F4:$J4)=0,"",IF(M4+N4=0,0,2*M4*N4/(M4+N4))))</f>
        <v/>
      </c>
      <c r="P4" s="6">
        <f>IF($C4&lt;&gt;"규정 정답","",IF(COUNTA($F4:$J4)=0,"",(IF(COUNTIF($F4:$H4,$D4)&gt;0,1,0)+IF($E4="",0,IF(COUNTIF($F4:$H4,$E4)&gt;0,1,0)))/3))</f>
        <v/>
      </c>
      <c r="Q4" s="6">
        <f>IF($C4&lt;&gt;"규정 정답","",IF(COUNTA($F4:$J4)=0,"",(IF(COUNTIF($F4:$H4,$D4)&gt;0,1,0)+IF($E4="",0,IF(COUNTIF($F4:$H4,$E4)&gt;0,1,0)))/IF($E4="",1,2)))</f>
        <v/>
      </c>
      <c r="R4" s="6">
        <f>IF($C4&lt;&gt;"규정 정답","",IF(COUNTA($F4:$J4)=0,"",IF(P4+Q4=0,0,2*P4*Q4/(P4+Q4))))</f>
        <v/>
      </c>
      <c r="S4" s="6">
        <f>IF($C4&lt;&gt;"규정 정답","",IF(COUNTA($F4:$J4)=0,"",(IF(COUNTIF($F4:$J4,$D4)&gt;0,1,0)+IF($E4="",0,IF(COUNTIF($F4:$J4,$E4)&gt;0,1,0)))/5))</f>
        <v/>
      </c>
      <c r="T4" s="6">
        <f>IF($C4&lt;&gt;"규정 정답","",IF(COUNTA($F4:$J4)=0,"",(IF(COUNTIF($F4:$J4,$D4)&gt;0,1,0)+IF($E4="",0,IF(COUNTIF($F4:$J4,$E4)&gt;0,1,0)))/IF($E4="",1,2)))</f>
        <v/>
      </c>
      <c r="U4" s="6">
        <f>IF($C4&lt;&gt;"규정 정답","",IF(COUNTA($F4:$J4)=0,"",IF(S4+T4=0,0,2*S4*T4/(S4+T4))))</f>
        <v/>
      </c>
    </row>
    <row r="5" spans="1:23">
      <c r="A5" s="4" t="s">
        <v>41</v>
      </c>
      <c r="B5" s="5" t="s">
        <v>42</v>
      </c>
      <c r="C5" s="4" t="s">
        <v>33</v>
      </c>
      <c r="D5" s="4" t="s">
        <v>34</v>
      </c>
      <c r="E5" s="4" t="s">
        <v>34</v>
      </c>
      <c r="F5" s="4"/>
      <c r="G5" s="4"/>
      <c r="H5" s="4"/>
      <c r="I5" s="4"/>
      <c r="J5" s="4"/>
      <c r="K5" s="6">
        <f>IF($C5&lt;&gt;"규정 정답","",IF(COUNTA($F5:$J5)=0,"",IF(IF(COUNTIF($F5:$H5,$D5)&gt;0,1,0)+IF($E5="",0,IF(COUNTIF($F5:$H5,$E5)&gt;0,1,0))&gt;0,1,0)))</f>
        <v/>
      </c>
      <c r="L5" s="6">
        <f>IF($C5&lt;&gt;"규정 정답","",IF(COUNTA($F5:$J5)=0,"",MAX(IFERROR(1/MATCH($D5,$F5:$J5,0),0),IF($E5="",0,IFERROR(1/MATCH($E5,$F5:$J5,0),0)))))</f>
        <v/>
      </c>
      <c r="M5" s="6">
        <f>IF($C5&lt;&gt;"규정 정답","",IF(COUNTA($F5:$J5)=0,"",(IF(COUNTIF($F5:$F5,$D5)&gt;0,1,0)+IF($E5="",0,IF(COUNTIF($F5:$F5,$E5)&gt;0,1,0)))/1))</f>
        <v/>
      </c>
      <c r="N5" s="6">
        <f>IF($C5&lt;&gt;"규정 정답","",IF(COUNTA($F5:$J5)=0,"",(IF(COUNTIF($F5:$F5,$D5)&gt;0,1,0)+IF($E5="",0,IF(COUNTIF($F5:$F5,$E5)&gt;0,1,0)))/IF($E5="",1,2)))</f>
        <v/>
      </c>
      <c r="O5" s="6">
        <f>IF($C5&lt;&gt;"규정 정답","",IF(COUNTA($F5:$J5)=0,"",IF(M5+N5=0,0,2*M5*N5/(M5+N5))))</f>
        <v/>
      </c>
      <c r="P5" s="6">
        <f>IF($C5&lt;&gt;"규정 정답","",IF(COUNTA($F5:$J5)=0,"",(IF(COUNTIF($F5:$H5,$D5)&gt;0,1,0)+IF($E5="",0,IF(COUNTIF($F5:$H5,$E5)&gt;0,1,0)))/3))</f>
        <v/>
      </c>
      <c r="Q5" s="6">
        <f>IF($C5&lt;&gt;"규정 정답","",IF(COUNTA($F5:$J5)=0,"",(IF(COUNTIF($F5:$H5,$D5)&gt;0,1,0)+IF($E5="",0,IF(COUNTIF($F5:$H5,$E5)&gt;0,1,0)))/IF($E5="",1,2)))</f>
        <v/>
      </c>
      <c r="R5" s="6">
        <f>IF($C5&lt;&gt;"규정 정답","",IF(COUNTA($F5:$J5)=0,"",IF(P5+Q5=0,0,2*P5*Q5/(P5+Q5))))</f>
        <v/>
      </c>
      <c r="S5" s="6">
        <f>IF($C5&lt;&gt;"규정 정답","",IF(COUNTA($F5:$J5)=0,"",(IF(COUNTIF($F5:$J5,$D5)&gt;0,1,0)+IF($E5="",0,IF(COUNTIF($F5:$J5,$E5)&gt;0,1,0)))/5))</f>
        <v/>
      </c>
      <c r="T5" s="6">
        <f>IF($C5&lt;&gt;"규정 정답","",IF(COUNTA($F5:$J5)=0,"",(IF(COUNTIF($F5:$J5,$D5)&gt;0,1,0)+IF($E5="",0,IF(COUNTIF($F5:$J5,$E5)&gt;0,1,0)))/IF($E5="",1,2)))</f>
        <v/>
      </c>
      <c r="U5" s="6">
        <f>IF($C5&lt;&gt;"규정 정답","",IF(COUNTA($F5:$J5)=0,"",IF(S5+T5=0,0,2*S5*T5/(S5+T5))))</f>
        <v/>
      </c>
    </row>
    <row r="6" spans="1:23">
      <c r="A6" s="4" t="s">
        <v>43</v>
      </c>
      <c r="B6" s="5" t="s">
        <v>44</v>
      </c>
      <c r="C6" s="4" t="s">
        <v>33</v>
      </c>
      <c r="D6" s="4" t="s">
        <v>34</v>
      </c>
      <c r="E6" s="4" t="s">
        <v>34</v>
      </c>
      <c r="F6" s="4"/>
      <c r="G6" s="4"/>
      <c r="H6" s="4"/>
      <c r="I6" s="4"/>
      <c r="J6" s="4"/>
      <c r="K6" s="6">
        <f>IF($C6&lt;&gt;"규정 정답","",IF(COUNTA($F6:$J6)=0,"",IF(IF(COUNTIF($F6:$H6,$D6)&gt;0,1,0)+IF($E6="",0,IF(COUNTIF($F6:$H6,$E6)&gt;0,1,0))&gt;0,1,0)))</f>
        <v/>
      </c>
      <c r="L6" s="6">
        <f>IF($C6&lt;&gt;"규정 정답","",IF(COUNTA($F6:$J6)=0,"",MAX(IFERROR(1/MATCH($D6,$F6:$J6,0),0),IF($E6="",0,IFERROR(1/MATCH($E6,$F6:$J6,0),0)))))</f>
        <v/>
      </c>
      <c r="M6" s="6">
        <f>IF($C6&lt;&gt;"규정 정답","",IF(COUNTA($F6:$J6)=0,"",(IF(COUNTIF($F6:$F6,$D6)&gt;0,1,0)+IF($E6="",0,IF(COUNTIF($F6:$F6,$E6)&gt;0,1,0)))/1))</f>
        <v/>
      </c>
      <c r="N6" s="6">
        <f>IF($C6&lt;&gt;"규정 정답","",IF(COUNTA($F6:$J6)=0,"",(IF(COUNTIF($F6:$F6,$D6)&gt;0,1,0)+IF($E6="",0,IF(COUNTIF($F6:$F6,$E6)&gt;0,1,0)))/IF($E6="",1,2)))</f>
        <v/>
      </c>
      <c r="O6" s="6">
        <f>IF($C6&lt;&gt;"규정 정답","",IF(COUNTA($F6:$J6)=0,"",IF(M6+N6=0,0,2*M6*N6/(M6+N6))))</f>
        <v/>
      </c>
      <c r="P6" s="6">
        <f>IF($C6&lt;&gt;"규정 정답","",IF(COUNTA($F6:$J6)=0,"",(IF(COUNTIF($F6:$H6,$D6)&gt;0,1,0)+IF($E6="",0,IF(COUNTIF($F6:$H6,$E6)&gt;0,1,0)))/3))</f>
        <v/>
      </c>
      <c r="Q6" s="6">
        <f>IF($C6&lt;&gt;"규정 정답","",IF(COUNTA($F6:$J6)=0,"",(IF(COUNTIF($F6:$H6,$D6)&gt;0,1,0)+IF($E6="",0,IF(COUNTIF($F6:$H6,$E6)&gt;0,1,0)))/IF($E6="",1,2)))</f>
        <v/>
      </c>
      <c r="R6" s="6">
        <f>IF($C6&lt;&gt;"규정 정답","",IF(COUNTA($F6:$J6)=0,"",IF(P6+Q6=0,0,2*P6*Q6/(P6+Q6))))</f>
        <v/>
      </c>
      <c r="S6" s="6">
        <f>IF($C6&lt;&gt;"규정 정답","",IF(COUNTA($F6:$J6)=0,"",(IF(COUNTIF($F6:$J6,$D6)&gt;0,1,0)+IF($E6="",0,IF(COUNTIF($F6:$J6,$E6)&gt;0,1,0)))/5))</f>
        <v/>
      </c>
      <c r="T6" s="6">
        <f>IF($C6&lt;&gt;"규정 정답","",IF(COUNTA($F6:$J6)=0,"",(IF(COUNTIF($F6:$J6,$D6)&gt;0,1,0)+IF($E6="",0,IF(COUNTIF($F6:$J6,$E6)&gt;0,1,0)))/IF($E6="",1,2)))</f>
        <v/>
      </c>
      <c r="U6" s="6">
        <f>IF($C6&lt;&gt;"규정 정답","",IF(COUNTA($F6:$J6)=0,"",IF(S6+T6=0,0,2*S6*T6/(S6+T6))))</f>
        <v/>
      </c>
    </row>
    <row r="7" spans="1:23">
      <c r="A7" s="4" t="s">
        <v>45</v>
      </c>
      <c r="B7" s="5" t="s">
        <v>46</v>
      </c>
      <c r="C7" s="4" t="s">
        <v>33</v>
      </c>
      <c r="D7" s="4" t="s">
        <v>34</v>
      </c>
      <c r="E7" s="4" t="s">
        <v>34</v>
      </c>
      <c r="F7" s="4"/>
      <c r="G7" s="4"/>
      <c r="H7" s="4"/>
      <c r="I7" s="4"/>
      <c r="J7" s="4"/>
      <c r="K7" s="6">
        <f>IF($C7&lt;&gt;"규정 정답","",IF(COUNTA($F7:$J7)=0,"",IF(IF(COUNTIF($F7:$H7,$D7)&gt;0,1,0)+IF($E7="",0,IF(COUNTIF($F7:$H7,$E7)&gt;0,1,0))&gt;0,1,0)))</f>
        <v/>
      </c>
      <c r="L7" s="6">
        <f>IF($C7&lt;&gt;"규정 정답","",IF(COUNTA($F7:$J7)=0,"",MAX(IFERROR(1/MATCH($D7,$F7:$J7,0),0),IF($E7="",0,IFERROR(1/MATCH($E7,$F7:$J7,0),0)))))</f>
        <v/>
      </c>
      <c r="M7" s="6">
        <f>IF($C7&lt;&gt;"규정 정답","",IF(COUNTA($F7:$J7)=0,"",(IF(COUNTIF($F7:$F7,$D7)&gt;0,1,0)+IF($E7="",0,IF(COUNTIF($F7:$F7,$E7)&gt;0,1,0)))/1))</f>
        <v/>
      </c>
      <c r="N7" s="6">
        <f>IF($C7&lt;&gt;"규정 정답","",IF(COUNTA($F7:$J7)=0,"",(IF(COUNTIF($F7:$F7,$D7)&gt;0,1,0)+IF($E7="",0,IF(COUNTIF($F7:$F7,$E7)&gt;0,1,0)))/IF($E7="",1,2)))</f>
        <v/>
      </c>
      <c r="O7" s="6">
        <f>IF($C7&lt;&gt;"규정 정답","",IF(COUNTA($F7:$J7)=0,"",IF(M7+N7=0,0,2*M7*N7/(M7+N7))))</f>
        <v/>
      </c>
      <c r="P7" s="6">
        <f>IF($C7&lt;&gt;"규정 정답","",IF(COUNTA($F7:$J7)=0,"",(IF(COUNTIF($F7:$H7,$D7)&gt;0,1,0)+IF($E7="",0,IF(COUNTIF($F7:$H7,$E7)&gt;0,1,0)))/3))</f>
        <v/>
      </c>
      <c r="Q7" s="6">
        <f>IF($C7&lt;&gt;"규정 정답","",IF(COUNTA($F7:$J7)=0,"",(IF(COUNTIF($F7:$H7,$D7)&gt;0,1,0)+IF($E7="",0,IF(COUNTIF($F7:$H7,$E7)&gt;0,1,0)))/IF($E7="",1,2)))</f>
        <v/>
      </c>
      <c r="R7" s="6">
        <f>IF($C7&lt;&gt;"규정 정답","",IF(COUNTA($F7:$J7)=0,"",IF(P7+Q7=0,0,2*P7*Q7/(P7+Q7))))</f>
        <v/>
      </c>
      <c r="S7" s="6">
        <f>IF($C7&lt;&gt;"규정 정답","",IF(COUNTA($F7:$J7)=0,"",(IF(COUNTIF($F7:$J7,$D7)&gt;0,1,0)+IF($E7="",0,IF(COUNTIF($F7:$J7,$E7)&gt;0,1,0)))/5))</f>
        <v/>
      </c>
      <c r="T7" s="6">
        <f>IF($C7&lt;&gt;"규정 정답","",IF(COUNTA($F7:$J7)=0,"",(IF(COUNTIF($F7:$J7,$D7)&gt;0,1,0)+IF($E7="",0,IF(COUNTIF($F7:$J7,$E7)&gt;0,1,0)))/IF($E7="",1,2)))</f>
        <v/>
      </c>
      <c r="U7" s="6">
        <f>IF($C7&lt;&gt;"규정 정답","",IF(COUNTA($F7:$J7)=0,"",IF(S7+T7=0,0,2*S7*T7/(S7+T7))))</f>
        <v/>
      </c>
    </row>
    <row r="8" spans="1:23">
      <c r="A8" t="s">
        <v>47</v>
      </c>
      <c r="B8" s="2" t="s">
        <v>48</v>
      </c>
      <c r="C8" t="s">
        <v>39</v>
      </c>
      <c r="D8" t="s">
        <v>49</v>
      </c>
      <c r="E8" t="s">
        <v>34</v>
      </c>
      <c r="F8" s="7"/>
      <c r="G8" s="7"/>
      <c r="H8" s="7"/>
      <c r="I8" s="7"/>
      <c r="J8" s="7"/>
      <c r="K8" s="6">
        <f>IF($C8&lt;&gt;"규정 정답","",IF(COUNTA($F8:$J8)=0,"",IF(IF(COUNTIF($F8:$H8,$D8)&gt;0,1,0)+IF($E8="",0,IF(COUNTIF($F8:$H8,$E8)&gt;0,1,0))&gt;0,1,0)))</f>
        <v/>
      </c>
      <c r="L8" s="6">
        <f>IF($C8&lt;&gt;"규정 정답","",IF(COUNTA($F8:$J8)=0,"",MAX(IFERROR(1/MATCH($D8,$F8:$J8,0),0),IF($E8="",0,IFERROR(1/MATCH($E8,$F8:$J8,0),0)))))</f>
        <v/>
      </c>
      <c r="M8" s="6">
        <f>IF($C8&lt;&gt;"규정 정답","",IF(COUNTA($F8:$J8)=0,"",(IF(COUNTIF($F8:$F8,$D8)&gt;0,1,0)+IF($E8="",0,IF(COUNTIF($F8:$F8,$E8)&gt;0,1,0)))/1))</f>
        <v/>
      </c>
      <c r="N8" s="6">
        <f>IF($C8&lt;&gt;"규정 정답","",IF(COUNTA($F8:$J8)=0,"",(IF(COUNTIF($F8:$F8,$D8)&gt;0,1,0)+IF($E8="",0,IF(COUNTIF($F8:$F8,$E8)&gt;0,1,0)))/IF($E8="",1,2)))</f>
        <v/>
      </c>
      <c r="O8" s="6">
        <f>IF($C8&lt;&gt;"규정 정답","",IF(COUNTA($F8:$J8)=0,"",IF(M8+N8=0,0,2*M8*N8/(M8+N8))))</f>
        <v/>
      </c>
      <c r="P8" s="6">
        <f>IF($C8&lt;&gt;"규정 정답","",IF(COUNTA($F8:$J8)=0,"",(IF(COUNTIF($F8:$H8,$D8)&gt;0,1,0)+IF($E8="",0,IF(COUNTIF($F8:$H8,$E8)&gt;0,1,0)))/3))</f>
        <v/>
      </c>
      <c r="Q8" s="6">
        <f>IF($C8&lt;&gt;"규정 정답","",IF(COUNTA($F8:$J8)=0,"",(IF(COUNTIF($F8:$H8,$D8)&gt;0,1,0)+IF($E8="",0,IF(COUNTIF($F8:$H8,$E8)&gt;0,1,0)))/IF($E8="",1,2)))</f>
        <v/>
      </c>
      <c r="R8" s="6">
        <f>IF($C8&lt;&gt;"규정 정답","",IF(COUNTA($F8:$J8)=0,"",IF(P8+Q8=0,0,2*P8*Q8/(P8+Q8))))</f>
        <v/>
      </c>
      <c r="S8" s="6">
        <f>IF($C8&lt;&gt;"규정 정답","",IF(COUNTA($F8:$J8)=0,"",(IF(COUNTIF($F8:$J8,$D8)&gt;0,1,0)+IF($E8="",0,IF(COUNTIF($F8:$J8,$E8)&gt;0,1,0)))/5))</f>
        <v/>
      </c>
      <c r="T8" s="6">
        <f>IF($C8&lt;&gt;"규정 정답","",IF(COUNTA($F8:$J8)=0,"",(IF(COUNTIF($F8:$J8,$D8)&gt;0,1,0)+IF($E8="",0,IF(COUNTIF($F8:$J8,$E8)&gt;0,1,0)))/IF($E8="",1,2)))</f>
        <v/>
      </c>
      <c r="U8" s="6">
        <f>IF($C8&lt;&gt;"규정 정답","",IF(COUNTA($F8:$J8)=0,"",IF(S8+T8=0,0,2*S8*T8/(S8+T8))))</f>
        <v/>
      </c>
    </row>
    <row r="9" spans="1:23">
      <c r="A9" t="s">
        <v>50</v>
      </c>
      <c r="B9" s="2" t="s">
        <v>51</v>
      </c>
      <c r="C9" t="s">
        <v>39</v>
      </c>
      <c r="D9" t="s">
        <v>52</v>
      </c>
      <c r="E9" t="s">
        <v>34</v>
      </c>
      <c r="F9" s="7"/>
      <c r="G9" s="7"/>
      <c r="H9" s="7"/>
      <c r="I9" s="7"/>
      <c r="J9" s="7"/>
      <c r="K9" s="6">
        <f>IF($C9&lt;&gt;"규정 정답","",IF(COUNTA($F9:$J9)=0,"",IF(IF(COUNTIF($F9:$H9,$D9)&gt;0,1,0)+IF($E9="",0,IF(COUNTIF($F9:$H9,$E9)&gt;0,1,0))&gt;0,1,0)))</f>
        <v/>
      </c>
      <c r="L9" s="6">
        <f>IF($C9&lt;&gt;"규정 정답","",IF(COUNTA($F9:$J9)=0,"",MAX(IFERROR(1/MATCH($D9,$F9:$J9,0),0),IF($E9="",0,IFERROR(1/MATCH($E9,$F9:$J9,0),0)))))</f>
        <v/>
      </c>
      <c r="M9" s="6">
        <f>IF($C9&lt;&gt;"규정 정답","",IF(COUNTA($F9:$J9)=0,"",(IF(COUNTIF($F9:$F9,$D9)&gt;0,1,0)+IF($E9="",0,IF(COUNTIF($F9:$F9,$E9)&gt;0,1,0)))/1))</f>
        <v/>
      </c>
      <c r="N9" s="6">
        <f>IF($C9&lt;&gt;"규정 정답","",IF(COUNTA($F9:$J9)=0,"",(IF(COUNTIF($F9:$F9,$D9)&gt;0,1,0)+IF($E9="",0,IF(COUNTIF($F9:$F9,$E9)&gt;0,1,0)))/IF($E9="",1,2)))</f>
        <v/>
      </c>
      <c r="O9" s="6">
        <f>IF($C9&lt;&gt;"규정 정답","",IF(COUNTA($F9:$J9)=0,"",IF(M9+N9=0,0,2*M9*N9/(M9+N9))))</f>
        <v/>
      </c>
      <c r="P9" s="6">
        <f>IF($C9&lt;&gt;"규정 정답","",IF(COUNTA($F9:$J9)=0,"",(IF(COUNTIF($F9:$H9,$D9)&gt;0,1,0)+IF($E9="",0,IF(COUNTIF($F9:$H9,$E9)&gt;0,1,0)))/3))</f>
        <v/>
      </c>
      <c r="Q9" s="6">
        <f>IF($C9&lt;&gt;"규정 정답","",IF(COUNTA($F9:$J9)=0,"",(IF(COUNTIF($F9:$H9,$D9)&gt;0,1,0)+IF($E9="",0,IF(COUNTIF($F9:$H9,$E9)&gt;0,1,0)))/IF($E9="",1,2)))</f>
        <v/>
      </c>
      <c r="R9" s="6">
        <f>IF($C9&lt;&gt;"규정 정답","",IF(COUNTA($F9:$J9)=0,"",IF(P9+Q9=0,0,2*P9*Q9/(P9+Q9))))</f>
        <v/>
      </c>
      <c r="S9" s="6">
        <f>IF($C9&lt;&gt;"규정 정답","",IF(COUNTA($F9:$J9)=0,"",(IF(COUNTIF($F9:$J9,$D9)&gt;0,1,0)+IF($E9="",0,IF(COUNTIF($F9:$J9,$E9)&gt;0,1,0)))/5))</f>
        <v/>
      </c>
      <c r="T9" s="6">
        <f>IF($C9&lt;&gt;"규정 정답","",IF(COUNTA($F9:$J9)=0,"",(IF(COUNTIF($F9:$J9,$D9)&gt;0,1,0)+IF($E9="",0,IF(COUNTIF($F9:$J9,$E9)&gt;0,1,0)))/IF($E9="",1,2)))</f>
        <v/>
      </c>
      <c r="U9" s="6">
        <f>IF($C9&lt;&gt;"규정 정답","",IF(COUNTA($F9:$J9)=0,"",IF(S9+T9=0,0,2*S9*T9/(S9+T9))))</f>
        <v/>
      </c>
    </row>
    <row r="10" spans="1:23">
      <c r="A10" t="s">
        <v>53</v>
      </c>
      <c r="B10" s="2" t="s">
        <v>54</v>
      </c>
      <c r="C10" t="s">
        <v>39</v>
      </c>
      <c r="D10" t="s">
        <v>40</v>
      </c>
      <c r="E10" t="s">
        <v>34</v>
      </c>
      <c r="F10" s="7"/>
      <c r="G10" s="7"/>
      <c r="H10" s="7"/>
      <c r="I10" s="7"/>
      <c r="J10" s="7"/>
      <c r="K10" s="6">
        <f>IF($C10&lt;&gt;"규정 정답","",IF(COUNTA($F10:$J10)=0,"",IF(IF(COUNTIF($F10:$H10,$D10)&gt;0,1,0)+IF($E10="",0,IF(COUNTIF($F10:$H10,$E10)&gt;0,1,0))&gt;0,1,0)))</f>
        <v/>
      </c>
      <c r="L10" s="6">
        <f>IF($C10&lt;&gt;"규정 정답","",IF(COUNTA($F10:$J10)=0,"",MAX(IFERROR(1/MATCH($D10,$F10:$J10,0),0),IF($E10="",0,IFERROR(1/MATCH($E10,$F10:$J10,0),0)))))</f>
        <v/>
      </c>
      <c r="M10" s="6">
        <f>IF($C10&lt;&gt;"규정 정답","",IF(COUNTA($F10:$J10)=0,"",(IF(COUNTIF($F10:$F10,$D10)&gt;0,1,0)+IF($E10="",0,IF(COUNTIF($F10:$F10,$E10)&gt;0,1,0)))/1))</f>
        <v/>
      </c>
      <c r="N10" s="6">
        <f>IF($C10&lt;&gt;"규정 정답","",IF(COUNTA($F10:$J10)=0,"",(IF(COUNTIF($F10:$F10,$D10)&gt;0,1,0)+IF($E10="",0,IF(COUNTIF($F10:$F10,$E10)&gt;0,1,0)))/IF($E10="",1,2)))</f>
        <v/>
      </c>
      <c r="O10" s="6">
        <f>IF($C10&lt;&gt;"규정 정답","",IF(COUNTA($F10:$J10)=0,"",IF(M10+N10=0,0,2*M10*N10/(M10+N10))))</f>
        <v/>
      </c>
      <c r="P10" s="6">
        <f>IF($C10&lt;&gt;"규정 정답","",IF(COUNTA($F10:$J10)=0,"",(IF(COUNTIF($F10:$H10,$D10)&gt;0,1,0)+IF($E10="",0,IF(COUNTIF($F10:$H10,$E10)&gt;0,1,0)))/3))</f>
        <v/>
      </c>
      <c r="Q10" s="6">
        <f>IF($C10&lt;&gt;"규정 정답","",IF(COUNTA($F10:$J10)=0,"",(IF(COUNTIF($F10:$H10,$D10)&gt;0,1,0)+IF($E10="",0,IF(COUNTIF($F10:$H10,$E10)&gt;0,1,0)))/IF($E10="",1,2)))</f>
        <v/>
      </c>
      <c r="R10" s="6">
        <f>IF($C10&lt;&gt;"규정 정답","",IF(COUNTA($F10:$J10)=0,"",IF(P10+Q10=0,0,2*P10*Q10/(P10+Q10))))</f>
        <v/>
      </c>
      <c r="S10" s="6">
        <f>IF($C10&lt;&gt;"규정 정답","",IF(COUNTA($F10:$J10)=0,"",(IF(COUNTIF($F10:$J10,$D10)&gt;0,1,0)+IF($E10="",0,IF(COUNTIF($F10:$J10,$E10)&gt;0,1,0)))/5))</f>
        <v/>
      </c>
      <c r="T10" s="6">
        <f>IF($C10&lt;&gt;"규정 정답","",IF(COUNTA($F10:$J10)=0,"",(IF(COUNTIF($F10:$J10,$D10)&gt;0,1,0)+IF($E10="",0,IF(COUNTIF($F10:$J10,$E10)&gt;0,1,0)))/IF($E10="",1,2)))</f>
        <v/>
      </c>
      <c r="U10" s="6">
        <f>IF($C10&lt;&gt;"규정 정답","",IF(COUNTA($F10:$J10)=0,"",IF(S10+T10=0,0,2*S10*T10/(S10+T10))))</f>
        <v/>
      </c>
    </row>
    <row r="11" spans="1:23">
      <c r="A11" s="4" t="s">
        <v>55</v>
      </c>
      <c r="B11" s="5" t="s">
        <v>56</v>
      </c>
      <c r="C11" s="4" t="s">
        <v>33</v>
      </c>
      <c r="D11" s="4" t="s">
        <v>34</v>
      </c>
      <c r="E11" s="4" t="s">
        <v>34</v>
      </c>
      <c r="F11" s="4"/>
      <c r="G11" s="4"/>
      <c r="H11" s="4"/>
      <c r="I11" s="4"/>
      <c r="J11" s="4"/>
      <c r="K11" s="6">
        <f>IF($C11&lt;&gt;"규정 정답","",IF(COUNTA($F11:$J11)=0,"",IF(IF(COUNTIF($F11:$H11,$D11)&gt;0,1,0)+IF($E11="",0,IF(COUNTIF($F11:$H11,$E11)&gt;0,1,0))&gt;0,1,0)))</f>
        <v/>
      </c>
      <c r="L11" s="6">
        <f>IF($C11&lt;&gt;"규정 정답","",IF(COUNTA($F11:$J11)=0,"",MAX(IFERROR(1/MATCH($D11,$F11:$J11,0),0),IF($E11="",0,IFERROR(1/MATCH($E11,$F11:$J11,0),0)))))</f>
        <v/>
      </c>
      <c r="M11" s="6">
        <f>IF($C11&lt;&gt;"규정 정답","",IF(COUNTA($F11:$J11)=0,"",(IF(COUNTIF($F11:$F11,$D11)&gt;0,1,0)+IF($E11="",0,IF(COUNTIF($F11:$F11,$E11)&gt;0,1,0)))/1))</f>
        <v/>
      </c>
      <c r="N11" s="6">
        <f>IF($C11&lt;&gt;"규정 정답","",IF(COUNTA($F11:$J11)=0,"",(IF(COUNTIF($F11:$F11,$D11)&gt;0,1,0)+IF($E11="",0,IF(COUNTIF($F11:$F11,$E11)&gt;0,1,0)))/IF($E11="",1,2)))</f>
        <v/>
      </c>
      <c r="O11" s="6">
        <f>IF($C11&lt;&gt;"규정 정답","",IF(COUNTA($F11:$J11)=0,"",IF(M11+N11=0,0,2*M11*N11/(M11+N11))))</f>
        <v/>
      </c>
      <c r="P11" s="6">
        <f>IF($C11&lt;&gt;"규정 정답","",IF(COUNTA($F11:$J11)=0,"",(IF(COUNTIF($F11:$H11,$D11)&gt;0,1,0)+IF($E11="",0,IF(COUNTIF($F11:$H11,$E11)&gt;0,1,0)))/3))</f>
        <v/>
      </c>
      <c r="Q11" s="6">
        <f>IF($C11&lt;&gt;"규정 정답","",IF(COUNTA($F11:$J11)=0,"",(IF(COUNTIF($F11:$H11,$D11)&gt;0,1,0)+IF($E11="",0,IF(COUNTIF($F11:$H11,$E11)&gt;0,1,0)))/IF($E11="",1,2)))</f>
        <v/>
      </c>
      <c r="R11" s="6">
        <f>IF($C11&lt;&gt;"규정 정답","",IF(COUNTA($F11:$J11)=0,"",IF(P11+Q11=0,0,2*P11*Q11/(P11+Q11))))</f>
        <v/>
      </c>
      <c r="S11" s="6">
        <f>IF($C11&lt;&gt;"규정 정답","",IF(COUNTA($F11:$J11)=0,"",(IF(COUNTIF($F11:$J11,$D11)&gt;0,1,0)+IF($E11="",0,IF(COUNTIF($F11:$J11,$E11)&gt;0,1,0)))/5))</f>
        <v/>
      </c>
      <c r="T11" s="6">
        <f>IF($C11&lt;&gt;"규정 정답","",IF(COUNTA($F11:$J11)=0,"",(IF(COUNTIF($F11:$J11,$D11)&gt;0,1,0)+IF($E11="",0,IF(COUNTIF($F11:$J11,$E11)&gt;0,1,0)))/IF($E11="",1,2)))</f>
        <v/>
      </c>
      <c r="U11" s="6">
        <f>IF($C11&lt;&gt;"규정 정답","",IF(COUNTA($F11:$J11)=0,"",IF(S11+T11=0,0,2*S11*T11/(S11+T11))))</f>
        <v/>
      </c>
    </row>
    <row r="12" spans="1:23">
      <c r="A12" s="4" t="s">
        <v>57</v>
      </c>
      <c r="B12" s="5" t="s">
        <v>58</v>
      </c>
      <c r="C12" s="4" t="s">
        <v>33</v>
      </c>
      <c r="D12" s="4" t="s">
        <v>34</v>
      </c>
      <c r="E12" s="4" t="s">
        <v>34</v>
      </c>
      <c r="F12" s="4"/>
      <c r="G12" s="4"/>
      <c r="H12" s="4"/>
      <c r="I12" s="4"/>
      <c r="J12" s="4"/>
      <c r="K12" s="6">
        <f>IF($C12&lt;&gt;"규정 정답","",IF(COUNTA($F12:$J12)=0,"",IF(IF(COUNTIF($F12:$H12,$D12)&gt;0,1,0)+IF($E12="",0,IF(COUNTIF($F12:$H12,$E12)&gt;0,1,0))&gt;0,1,0)))</f>
        <v/>
      </c>
      <c r="L12" s="6">
        <f>IF($C12&lt;&gt;"규정 정답","",IF(COUNTA($F12:$J12)=0,"",MAX(IFERROR(1/MATCH($D12,$F12:$J12,0),0),IF($E12="",0,IFERROR(1/MATCH($E12,$F12:$J12,0),0)))))</f>
        <v/>
      </c>
      <c r="M12" s="6">
        <f>IF($C12&lt;&gt;"규정 정답","",IF(COUNTA($F12:$J12)=0,"",(IF(COUNTIF($F12:$F12,$D12)&gt;0,1,0)+IF($E12="",0,IF(COUNTIF($F12:$F12,$E12)&gt;0,1,0)))/1))</f>
        <v/>
      </c>
      <c r="N12" s="6">
        <f>IF($C12&lt;&gt;"규정 정답","",IF(COUNTA($F12:$J12)=0,"",(IF(COUNTIF($F12:$F12,$D12)&gt;0,1,0)+IF($E12="",0,IF(COUNTIF($F12:$F12,$E12)&gt;0,1,0)))/IF($E12="",1,2)))</f>
        <v/>
      </c>
      <c r="O12" s="6">
        <f>IF($C12&lt;&gt;"규정 정답","",IF(COUNTA($F12:$J12)=0,"",IF(M12+N12=0,0,2*M12*N12/(M12+N12))))</f>
        <v/>
      </c>
      <c r="P12" s="6">
        <f>IF($C12&lt;&gt;"규정 정답","",IF(COUNTA($F12:$J12)=0,"",(IF(COUNTIF($F12:$H12,$D12)&gt;0,1,0)+IF($E12="",0,IF(COUNTIF($F12:$H12,$E12)&gt;0,1,0)))/3))</f>
        <v/>
      </c>
      <c r="Q12" s="6">
        <f>IF($C12&lt;&gt;"규정 정답","",IF(COUNTA($F12:$J12)=0,"",(IF(COUNTIF($F12:$H12,$D12)&gt;0,1,0)+IF($E12="",0,IF(COUNTIF($F12:$H12,$E12)&gt;0,1,0)))/IF($E12="",1,2)))</f>
        <v/>
      </c>
      <c r="R12" s="6">
        <f>IF($C12&lt;&gt;"규정 정답","",IF(COUNTA($F12:$J12)=0,"",IF(P12+Q12=0,0,2*P12*Q12/(P12+Q12))))</f>
        <v/>
      </c>
      <c r="S12" s="6">
        <f>IF($C12&lt;&gt;"규정 정답","",IF(COUNTA($F12:$J12)=0,"",(IF(COUNTIF($F12:$J12,$D12)&gt;0,1,0)+IF($E12="",0,IF(COUNTIF($F12:$J12,$E12)&gt;0,1,0)))/5))</f>
        <v/>
      </c>
      <c r="T12" s="6">
        <f>IF($C12&lt;&gt;"규정 정답","",IF(COUNTA($F12:$J12)=0,"",(IF(COUNTIF($F12:$J12,$D12)&gt;0,1,0)+IF($E12="",0,IF(COUNTIF($F12:$J12,$E12)&gt;0,1,0)))/IF($E12="",1,2)))</f>
        <v/>
      </c>
      <c r="U12" s="6">
        <f>IF($C12&lt;&gt;"규정 정답","",IF(COUNTA($F12:$J12)=0,"",IF(S12+T12=0,0,2*S12*T12/(S12+T12))))</f>
        <v/>
      </c>
    </row>
    <row r="13" spans="1:23">
      <c r="A13" s="4" t="s">
        <v>59</v>
      </c>
      <c r="B13" s="5" t="s">
        <v>60</v>
      </c>
      <c r="C13" s="4" t="s">
        <v>33</v>
      </c>
      <c r="D13" s="4" t="s">
        <v>34</v>
      </c>
      <c r="E13" s="4" t="s">
        <v>34</v>
      </c>
      <c r="F13" s="4"/>
      <c r="G13" s="4"/>
      <c r="H13" s="4"/>
      <c r="I13" s="4"/>
      <c r="J13" s="4"/>
      <c r="K13" s="6">
        <f>IF($C13&lt;&gt;"규정 정답","",IF(COUNTA($F13:$J13)=0,"",IF(IF(COUNTIF($F13:$H13,$D13)&gt;0,1,0)+IF($E13="",0,IF(COUNTIF($F13:$H13,$E13)&gt;0,1,0))&gt;0,1,0)))</f>
        <v/>
      </c>
      <c r="L13" s="6">
        <f>IF($C13&lt;&gt;"규정 정답","",IF(COUNTA($F13:$J13)=0,"",MAX(IFERROR(1/MATCH($D13,$F13:$J13,0),0),IF($E13="",0,IFERROR(1/MATCH($E13,$F13:$J13,0),0)))))</f>
        <v/>
      </c>
      <c r="M13" s="6">
        <f>IF($C13&lt;&gt;"규정 정답","",IF(COUNTA($F13:$J13)=0,"",(IF(COUNTIF($F13:$F13,$D13)&gt;0,1,0)+IF($E13="",0,IF(COUNTIF($F13:$F13,$E13)&gt;0,1,0)))/1))</f>
        <v/>
      </c>
      <c r="N13" s="6">
        <f>IF($C13&lt;&gt;"규정 정답","",IF(COUNTA($F13:$J13)=0,"",(IF(COUNTIF($F13:$F13,$D13)&gt;0,1,0)+IF($E13="",0,IF(COUNTIF($F13:$F13,$E13)&gt;0,1,0)))/IF($E13="",1,2)))</f>
        <v/>
      </c>
      <c r="O13" s="6">
        <f>IF($C13&lt;&gt;"규정 정답","",IF(COUNTA($F13:$J13)=0,"",IF(M13+N13=0,0,2*M13*N13/(M13+N13))))</f>
        <v/>
      </c>
      <c r="P13" s="6">
        <f>IF($C13&lt;&gt;"규정 정답","",IF(COUNTA($F13:$J13)=0,"",(IF(COUNTIF($F13:$H13,$D13)&gt;0,1,0)+IF($E13="",0,IF(COUNTIF($F13:$H13,$E13)&gt;0,1,0)))/3))</f>
        <v/>
      </c>
      <c r="Q13" s="6">
        <f>IF($C13&lt;&gt;"규정 정답","",IF(COUNTA($F13:$J13)=0,"",(IF(COUNTIF($F13:$H13,$D13)&gt;0,1,0)+IF($E13="",0,IF(COUNTIF($F13:$H13,$E13)&gt;0,1,0)))/IF($E13="",1,2)))</f>
        <v/>
      </c>
      <c r="R13" s="6">
        <f>IF($C13&lt;&gt;"규정 정답","",IF(COUNTA($F13:$J13)=0,"",IF(P13+Q13=0,0,2*P13*Q13/(P13+Q13))))</f>
        <v/>
      </c>
      <c r="S13" s="6">
        <f>IF($C13&lt;&gt;"규정 정답","",IF(COUNTA($F13:$J13)=0,"",(IF(COUNTIF($F13:$J13,$D13)&gt;0,1,0)+IF($E13="",0,IF(COUNTIF($F13:$J13,$E13)&gt;0,1,0)))/5))</f>
        <v/>
      </c>
      <c r="T13" s="6">
        <f>IF($C13&lt;&gt;"규정 정답","",IF(COUNTA($F13:$J13)=0,"",(IF(COUNTIF($F13:$J13,$D13)&gt;0,1,0)+IF($E13="",0,IF(COUNTIF($F13:$J13,$E13)&gt;0,1,0)))/IF($E13="",1,2)))</f>
        <v/>
      </c>
      <c r="U13" s="6">
        <f>IF($C13&lt;&gt;"규정 정답","",IF(COUNTA($F13:$J13)=0,"",IF(S13+T13=0,0,2*S13*T13/(S13+T13))))</f>
        <v/>
      </c>
    </row>
    <row r="14" spans="1:23">
      <c r="A14" t="s">
        <v>61</v>
      </c>
      <c r="B14" s="2" t="s">
        <v>62</v>
      </c>
      <c r="C14" t="s">
        <v>39</v>
      </c>
      <c r="D14" t="s">
        <v>40</v>
      </c>
      <c r="E14" t="s">
        <v>34</v>
      </c>
      <c r="F14" s="7"/>
      <c r="G14" s="7"/>
      <c r="H14" s="7"/>
      <c r="I14" s="7"/>
      <c r="J14" s="7"/>
      <c r="K14" s="6">
        <f>IF($C14&lt;&gt;"규정 정답","",IF(COUNTA($F14:$J14)=0,"",IF(IF(COUNTIF($F14:$H14,$D14)&gt;0,1,0)+IF($E14="",0,IF(COUNTIF($F14:$H14,$E14)&gt;0,1,0))&gt;0,1,0)))</f>
        <v/>
      </c>
      <c r="L14" s="6">
        <f>IF($C14&lt;&gt;"규정 정답","",IF(COUNTA($F14:$J14)=0,"",MAX(IFERROR(1/MATCH($D14,$F14:$J14,0),0),IF($E14="",0,IFERROR(1/MATCH($E14,$F14:$J14,0),0)))))</f>
        <v/>
      </c>
      <c r="M14" s="6">
        <f>IF($C14&lt;&gt;"규정 정답","",IF(COUNTA($F14:$J14)=0,"",(IF(COUNTIF($F14:$F14,$D14)&gt;0,1,0)+IF($E14="",0,IF(COUNTIF($F14:$F14,$E14)&gt;0,1,0)))/1))</f>
        <v/>
      </c>
      <c r="N14" s="6">
        <f>IF($C14&lt;&gt;"규정 정답","",IF(COUNTA($F14:$J14)=0,"",(IF(COUNTIF($F14:$F14,$D14)&gt;0,1,0)+IF($E14="",0,IF(COUNTIF($F14:$F14,$E14)&gt;0,1,0)))/IF($E14="",1,2)))</f>
        <v/>
      </c>
      <c r="O14" s="6">
        <f>IF($C14&lt;&gt;"규정 정답","",IF(COUNTA($F14:$J14)=0,"",IF(M14+N14=0,0,2*M14*N14/(M14+N14))))</f>
        <v/>
      </c>
      <c r="P14" s="6">
        <f>IF($C14&lt;&gt;"규정 정답","",IF(COUNTA($F14:$J14)=0,"",(IF(COUNTIF($F14:$H14,$D14)&gt;0,1,0)+IF($E14="",0,IF(COUNTIF($F14:$H14,$E14)&gt;0,1,0)))/3))</f>
        <v/>
      </c>
      <c r="Q14" s="6">
        <f>IF($C14&lt;&gt;"규정 정답","",IF(COUNTA($F14:$J14)=0,"",(IF(COUNTIF($F14:$H14,$D14)&gt;0,1,0)+IF($E14="",0,IF(COUNTIF($F14:$H14,$E14)&gt;0,1,0)))/IF($E14="",1,2)))</f>
        <v/>
      </c>
      <c r="R14" s="6">
        <f>IF($C14&lt;&gt;"규정 정답","",IF(COUNTA($F14:$J14)=0,"",IF(P14+Q14=0,0,2*P14*Q14/(P14+Q14))))</f>
        <v/>
      </c>
      <c r="S14" s="6">
        <f>IF($C14&lt;&gt;"규정 정답","",IF(COUNTA($F14:$J14)=0,"",(IF(COUNTIF($F14:$J14,$D14)&gt;0,1,0)+IF($E14="",0,IF(COUNTIF($F14:$J14,$E14)&gt;0,1,0)))/5))</f>
        <v/>
      </c>
      <c r="T14" s="6">
        <f>IF($C14&lt;&gt;"규정 정답","",IF(COUNTA($F14:$J14)=0,"",(IF(COUNTIF($F14:$J14,$D14)&gt;0,1,0)+IF($E14="",0,IF(COUNTIF($F14:$J14,$E14)&gt;0,1,0)))/IF($E14="",1,2)))</f>
        <v/>
      </c>
      <c r="U14" s="6">
        <f>IF($C14&lt;&gt;"규정 정답","",IF(COUNTA($F14:$J14)=0,"",IF(S14+T14=0,0,2*S14*T14/(S14+T14))))</f>
        <v/>
      </c>
    </row>
    <row r="15" spans="1:23">
      <c r="A15" t="s">
        <v>63</v>
      </c>
      <c r="B15" s="2" t="s">
        <v>64</v>
      </c>
      <c r="C15" t="s">
        <v>39</v>
      </c>
      <c r="D15" t="s">
        <v>40</v>
      </c>
      <c r="E15" t="s">
        <v>34</v>
      </c>
      <c r="F15" s="7"/>
      <c r="G15" s="7"/>
      <c r="H15" s="7"/>
      <c r="I15" s="7"/>
      <c r="J15" s="7"/>
      <c r="K15" s="6">
        <f>IF($C15&lt;&gt;"규정 정답","",IF(COUNTA($F15:$J15)=0,"",IF(IF(COUNTIF($F15:$H15,$D15)&gt;0,1,0)+IF($E15="",0,IF(COUNTIF($F15:$H15,$E15)&gt;0,1,0))&gt;0,1,0)))</f>
        <v/>
      </c>
      <c r="L15" s="6">
        <f>IF($C15&lt;&gt;"규정 정답","",IF(COUNTA($F15:$J15)=0,"",MAX(IFERROR(1/MATCH($D15,$F15:$J15,0),0),IF($E15="",0,IFERROR(1/MATCH($E15,$F15:$J15,0),0)))))</f>
        <v/>
      </c>
      <c r="M15" s="6">
        <f>IF($C15&lt;&gt;"규정 정답","",IF(COUNTA($F15:$J15)=0,"",(IF(COUNTIF($F15:$F15,$D15)&gt;0,1,0)+IF($E15="",0,IF(COUNTIF($F15:$F15,$E15)&gt;0,1,0)))/1))</f>
        <v/>
      </c>
      <c r="N15" s="6">
        <f>IF($C15&lt;&gt;"규정 정답","",IF(COUNTA($F15:$J15)=0,"",(IF(COUNTIF($F15:$F15,$D15)&gt;0,1,0)+IF($E15="",0,IF(COUNTIF($F15:$F15,$E15)&gt;0,1,0)))/IF($E15="",1,2)))</f>
        <v/>
      </c>
      <c r="O15" s="6">
        <f>IF($C15&lt;&gt;"규정 정답","",IF(COUNTA($F15:$J15)=0,"",IF(M15+N15=0,0,2*M15*N15/(M15+N15))))</f>
        <v/>
      </c>
      <c r="P15" s="6">
        <f>IF($C15&lt;&gt;"규정 정답","",IF(COUNTA($F15:$J15)=0,"",(IF(COUNTIF($F15:$H15,$D15)&gt;0,1,0)+IF($E15="",0,IF(COUNTIF($F15:$H15,$E15)&gt;0,1,0)))/3))</f>
        <v/>
      </c>
      <c r="Q15" s="6">
        <f>IF($C15&lt;&gt;"규정 정답","",IF(COUNTA($F15:$J15)=0,"",(IF(COUNTIF($F15:$H15,$D15)&gt;0,1,0)+IF($E15="",0,IF(COUNTIF($F15:$H15,$E15)&gt;0,1,0)))/IF($E15="",1,2)))</f>
        <v/>
      </c>
      <c r="R15" s="6">
        <f>IF($C15&lt;&gt;"규정 정답","",IF(COUNTA($F15:$J15)=0,"",IF(P15+Q15=0,0,2*P15*Q15/(P15+Q15))))</f>
        <v/>
      </c>
      <c r="S15" s="6">
        <f>IF($C15&lt;&gt;"규정 정답","",IF(COUNTA($F15:$J15)=0,"",(IF(COUNTIF($F15:$J15,$D15)&gt;0,1,0)+IF($E15="",0,IF(COUNTIF($F15:$J15,$E15)&gt;0,1,0)))/5))</f>
        <v/>
      </c>
      <c r="T15" s="6">
        <f>IF($C15&lt;&gt;"규정 정답","",IF(COUNTA($F15:$J15)=0,"",(IF(COUNTIF($F15:$J15,$D15)&gt;0,1,0)+IF($E15="",0,IF(COUNTIF($F15:$J15,$E15)&gt;0,1,0)))/IF($E15="",1,2)))</f>
        <v/>
      </c>
      <c r="U15" s="6">
        <f>IF($C15&lt;&gt;"규정 정답","",IF(COUNTA($F15:$J15)=0,"",IF(S15+T15=0,0,2*S15*T15/(S15+T15))))</f>
        <v/>
      </c>
    </row>
    <row r="16" spans="1:23">
      <c r="A16" t="s">
        <v>65</v>
      </c>
      <c r="B16" s="2" t="s">
        <v>66</v>
      </c>
      <c r="C16" t="s">
        <v>39</v>
      </c>
      <c r="D16" t="s">
        <v>67</v>
      </c>
      <c r="E16" t="s">
        <v>34</v>
      </c>
      <c r="F16" s="7"/>
      <c r="G16" s="7"/>
      <c r="H16" s="7"/>
      <c r="I16" s="7"/>
      <c r="J16" s="7"/>
      <c r="K16" s="6">
        <f>IF($C16&lt;&gt;"규정 정답","",IF(COUNTA($F16:$J16)=0,"",IF(IF(COUNTIF($F16:$H16,$D16)&gt;0,1,0)+IF($E16="",0,IF(COUNTIF($F16:$H16,$E16)&gt;0,1,0))&gt;0,1,0)))</f>
        <v/>
      </c>
      <c r="L16" s="6">
        <f>IF($C16&lt;&gt;"규정 정답","",IF(COUNTA($F16:$J16)=0,"",MAX(IFERROR(1/MATCH($D16,$F16:$J16,0),0),IF($E16="",0,IFERROR(1/MATCH($E16,$F16:$J16,0),0)))))</f>
        <v/>
      </c>
      <c r="M16" s="6">
        <f>IF($C16&lt;&gt;"규정 정답","",IF(COUNTA($F16:$J16)=0,"",(IF(COUNTIF($F16:$F16,$D16)&gt;0,1,0)+IF($E16="",0,IF(COUNTIF($F16:$F16,$E16)&gt;0,1,0)))/1))</f>
        <v/>
      </c>
      <c r="N16" s="6">
        <f>IF($C16&lt;&gt;"규정 정답","",IF(COUNTA($F16:$J16)=0,"",(IF(COUNTIF($F16:$F16,$D16)&gt;0,1,0)+IF($E16="",0,IF(COUNTIF($F16:$F16,$E16)&gt;0,1,0)))/IF($E16="",1,2)))</f>
        <v/>
      </c>
      <c r="O16" s="6">
        <f>IF($C16&lt;&gt;"규정 정답","",IF(COUNTA($F16:$J16)=0,"",IF(M16+N16=0,0,2*M16*N16/(M16+N16))))</f>
        <v/>
      </c>
      <c r="P16" s="6">
        <f>IF($C16&lt;&gt;"규정 정답","",IF(COUNTA($F16:$J16)=0,"",(IF(COUNTIF($F16:$H16,$D16)&gt;0,1,0)+IF($E16="",0,IF(COUNTIF($F16:$H16,$E16)&gt;0,1,0)))/3))</f>
        <v/>
      </c>
      <c r="Q16" s="6">
        <f>IF($C16&lt;&gt;"규정 정답","",IF(COUNTA($F16:$J16)=0,"",(IF(COUNTIF($F16:$H16,$D16)&gt;0,1,0)+IF($E16="",0,IF(COUNTIF($F16:$H16,$E16)&gt;0,1,0)))/IF($E16="",1,2)))</f>
        <v/>
      </c>
      <c r="R16" s="6">
        <f>IF($C16&lt;&gt;"규정 정답","",IF(COUNTA($F16:$J16)=0,"",IF(P16+Q16=0,0,2*P16*Q16/(P16+Q16))))</f>
        <v/>
      </c>
      <c r="S16" s="6">
        <f>IF($C16&lt;&gt;"규정 정답","",IF(COUNTA($F16:$J16)=0,"",(IF(COUNTIF($F16:$J16,$D16)&gt;0,1,0)+IF($E16="",0,IF(COUNTIF($F16:$J16,$E16)&gt;0,1,0)))/5))</f>
        <v/>
      </c>
      <c r="T16" s="6">
        <f>IF($C16&lt;&gt;"규정 정답","",IF(COUNTA($F16:$J16)=0,"",(IF(COUNTIF($F16:$J16,$D16)&gt;0,1,0)+IF($E16="",0,IF(COUNTIF($F16:$J16,$E16)&gt;0,1,0)))/IF($E16="",1,2)))</f>
        <v/>
      </c>
      <c r="U16" s="6">
        <f>IF($C16&lt;&gt;"규정 정답","",IF(COUNTA($F16:$J16)=0,"",IF(S16+T16=0,0,2*S16*T16/(S16+T16))))</f>
        <v/>
      </c>
    </row>
    <row r="17" spans="1:21">
      <c r="A17" t="s">
        <v>68</v>
      </c>
      <c r="B17" s="2" t="s">
        <v>69</v>
      </c>
      <c r="C17" t="s">
        <v>39</v>
      </c>
      <c r="D17" t="s">
        <v>70</v>
      </c>
      <c r="E17" t="s">
        <v>34</v>
      </c>
      <c r="F17" s="7"/>
      <c r="G17" s="7"/>
      <c r="H17" s="7"/>
      <c r="I17" s="7"/>
      <c r="J17" s="7"/>
      <c r="K17" s="6">
        <f>IF($C17&lt;&gt;"규정 정답","",IF(COUNTA($F17:$J17)=0,"",IF(IF(COUNTIF($F17:$H17,$D17)&gt;0,1,0)+IF($E17="",0,IF(COUNTIF($F17:$H17,$E17)&gt;0,1,0))&gt;0,1,0)))</f>
        <v/>
      </c>
      <c r="L17" s="6">
        <f>IF($C17&lt;&gt;"규정 정답","",IF(COUNTA($F17:$J17)=0,"",MAX(IFERROR(1/MATCH($D17,$F17:$J17,0),0),IF($E17="",0,IFERROR(1/MATCH($E17,$F17:$J17,0),0)))))</f>
        <v/>
      </c>
      <c r="M17" s="6">
        <f>IF($C17&lt;&gt;"규정 정답","",IF(COUNTA($F17:$J17)=0,"",(IF(COUNTIF($F17:$F17,$D17)&gt;0,1,0)+IF($E17="",0,IF(COUNTIF($F17:$F17,$E17)&gt;0,1,0)))/1))</f>
        <v/>
      </c>
      <c r="N17" s="6">
        <f>IF($C17&lt;&gt;"규정 정답","",IF(COUNTA($F17:$J17)=0,"",(IF(COUNTIF($F17:$F17,$D17)&gt;0,1,0)+IF($E17="",0,IF(COUNTIF($F17:$F17,$E17)&gt;0,1,0)))/IF($E17="",1,2)))</f>
        <v/>
      </c>
      <c r="O17" s="6">
        <f>IF($C17&lt;&gt;"규정 정답","",IF(COUNTA($F17:$J17)=0,"",IF(M17+N17=0,0,2*M17*N17/(M17+N17))))</f>
        <v/>
      </c>
      <c r="P17" s="6">
        <f>IF($C17&lt;&gt;"규정 정답","",IF(COUNTA($F17:$J17)=0,"",(IF(COUNTIF($F17:$H17,$D17)&gt;0,1,0)+IF($E17="",0,IF(COUNTIF($F17:$H17,$E17)&gt;0,1,0)))/3))</f>
        <v/>
      </c>
      <c r="Q17" s="6">
        <f>IF($C17&lt;&gt;"규정 정답","",IF(COUNTA($F17:$J17)=0,"",(IF(COUNTIF($F17:$H17,$D17)&gt;0,1,0)+IF($E17="",0,IF(COUNTIF($F17:$H17,$E17)&gt;0,1,0)))/IF($E17="",1,2)))</f>
        <v/>
      </c>
      <c r="R17" s="6">
        <f>IF($C17&lt;&gt;"규정 정답","",IF(COUNTA($F17:$J17)=0,"",IF(P17+Q17=0,0,2*P17*Q17/(P17+Q17))))</f>
        <v/>
      </c>
      <c r="S17" s="6">
        <f>IF($C17&lt;&gt;"규정 정답","",IF(COUNTA($F17:$J17)=0,"",(IF(COUNTIF($F17:$J17,$D17)&gt;0,1,0)+IF($E17="",0,IF(COUNTIF($F17:$J17,$E17)&gt;0,1,0)))/5))</f>
        <v/>
      </c>
      <c r="T17" s="6">
        <f>IF($C17&lt;&gt;"규정 정답","",IF(COUNTA($F17:$J17)=0,"",(IF(COUNTIF($F17:$J17,$D17)&gt;0,1,0)+IF($E17="",0,IF(COUNTIF($F17:$J17,$E17)&gt;0,1,0)))/IF($E17="",1,2)))</f>
        <v/>
      </c>
      <c r="U17" s="6">
        <f>IF($C17&lt;&gt;"규정 정답","",IF(COUNTA($F17:$J17)=0,"",IF(S17+T17=0,0,2*S17*T17/(S17+T17))))</f>
        <v/>
      </c>
    </row>
    <row r="18" spans="1:21">
      <c r="A18" t="s">
        <v>71</v>
      </c>
      <c r="B18" s="2" t="s">
        <v>72</v>
      </c>
      <c r="C18" t="s">
        <v>39</v>
      </c>
      <c r="D18" t="s">
        <v>73</v>
      </c>
      <c r="E18" t="s">
        <v>34</v>
      </c>
      <c r="F18" s="7"/>
      <c r="G18" s="7"/>
      <c r="H18" s="7"/>
      <c r="I18" s="7"/>
      <c r="J18" s="7"/>
      <c r="K18" s="6">
        <f>IF($C18&lt;&gt;"규정 정답","",IF(COUNTA($F18:$J18)=0,"",IF(IF(COUNTIF($F18:$H18,$D18)&gt;0,1,0)+IF($E18="",0,IF(COUNTIF($F18:$H18,$E18)&gt;0,1,0))&gt;0,1,0)))</f>
        <v/>
      </c>
      <c r="L18" s="6">
        <f>IF($C18&lt;&gt;"규정 정답","",IF(COUNTA($F18:$J18)=0,"",MAX(IFERROR(1/MATCH($D18,$F18:$J18,0),0),IF($E18="",0,IFERROR(1/MATCH($E18,$F18:$J18,0),0)))))</f>
        <v/>
      </c>
      <c r="M18" s="6">
        <f>IF($C18&lt;&gt;"규정 정답","",IF(COUNTA($F18:$J18)=0,"",(IF(COUNTIF($F18:$F18,$D18)&gt;0,1,0)+IF($E18="",0,IF(COUNTIF($F18:$F18,$E18)&gt;0,1,0)))/1))</f>
        <v/>
      </c>
      <c r="N18" s="6">
        <f>IF($C18&lt;&gt;"규정 정답","",IF(COUNTA($F18:$J18)=0,"",(IF(COUNTIF($F18:$F18,$D18)&gt;0,1,0)+IF($E18="",0,IF(COUNTIF($F18:$F18,$E18)&gt;0,1,0)))/IF($E18="",1,2)))</f>
        <v/>
      </c>
      <c r="O18" s="6">
        <f>IF($C18&lt;&gt;"규정 정답","",IF(COUNTA($F18:$J18)=0,"",IF(M18+N18=0,0,2*M18*N18/(M18+N18))))</f>
        <v/>
      </c>
      <c r="P18" s="6">
        <f>IF($C18&lt;&gt;"규정 정답","",IF(COUNTA($F18:$J18)=0,"",(IF(COUNTIF($F18:$H18,$D18)&gt;0,1,0)+IF($E18="",0,IF(COUNTIF($F18:$H18,$E18)&gt;0,1,0)))/3))</f>
        <v/>
      </c>
      <c r="Q18" s="6">
        <f>IF($C18&lt;&gt;"규정 정답","",IF(COUNTA($F18:$J18)=0,"",(IF(COUNTIF($F18:$H18,$D18)&gt;0,1,0)+IF($E18="",0,IF(COUNTIF($F18:$H18,$E18)&gt;0,1,0)))/IF($E18="",1,2)))</f>
        <v/>
      </c>
      <c r="R18" s="6">
        <f>IF($C18&lt;&gt;"규정 정답","",IF(COUNTA($F18:$J18)=0,"",IF(P18+Q18=0,0,2*P18*Q18/(P18+Q18))))</f>
        <v/>
      </c>
      <c r="S18" s="6">
        <f>IF($C18&lt;&gt;"규정 정답","",IF(COUNTA($F18:$J18)=0,"",(IF(COUNTIF($F18:$J18,$D18)&gt;0,1,0)+IF($E18="",0,IF(COUNTIF($F18:$J18,$E18)&gt;0,1,0)))/5))</f>
        <v/>
      </c>
      <c r="T18" s="6">
        <f>IF($C18&lt;&gt;"규정 정답","",IF(COUNTA($F18:$J18)=0,"",(IF(COUNTIF($F18:$J18,$D18)&gt;0,1,0)+IF($E18="",0,IF(COUNTIF($F18:$J18,$E18)&gt;0,1,0)))/IF($E18="",1,2)))</f>
        <v/>
      </c>
      <c r="U18" s="6">
        <f>IF($C18&lt;&gt;"규정 정답","",IF(COUNTA($F18:$J18)=0,"",IF(S18+T18=0,0,2*S18*T18/(S18+T18))))</f>
        <v/>
      </c>
    </row>
    <row r="19" spans="1:21">
      <c r="A19" t="s">
        <v>74</v>
      </c>
      <c r="B19" s="2" t="s">
        <v>75</v>
      </c>
      <c r="C19" t="s">
        <v>39</v>
      </c>
      <c r="D19" t="s">
        <v>73</v>
      </c>
      <c r="E19" t="s">
        <v>34</v>
      </c>
      <c r="F19" s="7"/>
      <c r="G19" s="7"/>
      <c r="H19" s="7"/>
      <c r="I19" s="7"/>
      <c r="J19" s="7"/>
      <c r="K19" s="6">
        <f>IF($C19&lt;&gt;"규정 정답","",IF(COUNTA($F19:$J19)=0,"",IF(IF(COUNTIF($F19:$H19,$D19)&gt;0,1,0)+IF($E19="",0,IF(COUNTIF($F19:$H19,$E19)&gt;0,1,0))&gt;0,1,0)))</f>
        <v/>
      </c>
      <c r="L19" s="6">
        <f>IF($C19&lt;&gt;"규정 정답","",IF(COUNTA($F19:$J19)=0,"",MAX(IFERROR(1/MATCH($D19,$F19:$J19,0),0),IF($E19="",0,IFERROR(1/MATCH($E19,$F19:$J19,0),0)))))</f>
        <v/>
      </c>
      <c r="M19" s="6">
        <f>IF($C19&lt;&gt;"규정 정답","",IF(COUNTA($F19:$J19)=0,"",(IF(COUNTIF($F19:$F19,$D19)&gt;0,1,0)+IF($E19="",0,IF(COUNTIF($F19:$F19,$E19)&gt;0,1,0)))/1))</f>
        <v/>
      </c>
      <c r="N19" s="6">
        <f>IF($C19&lt;&gt;"규정 정답","",IF(COUNTA($F19:$J19)=0,"",(IF(COUNTIF($F19:$F19,$D19)&gt;0,1,0)+IF($E19="",0,IF(COUNTIF($F19:$F19,$E19)&gt;0,1,0)))/IF($E19="",1,2)))</f>
        <v/>
      </c>
      <c r="O19" s="6">
        <f>IF($C19&lt;&gt;"규정 정답","",IF(COUNTA($F19:$J19)=0,"",IF(M19+N19=0,0,2*M19*N19/(M19+N19))))</f>
        <v/>
      </c>
      <c r="P19" s="6">
        <f>IF($C19&lt;&gt;"규정 정답","",IF(COUNTA($F19:$J19)=0,"",(IF(COUNTIF($F19:$H19,$D19)&gt;0,1,0)+IF($E19="",0,IF(COUNTIF($F19:$H19,$E19)&gt;0,1,0)))/3))</f>
        <v/>
      </c>
      <c r="Q19" s="6">
        <f>IF($C19&lt;&gt;"규정 정답","",IF(COUNTA($F19:$J19)=0,"",(IF(COUNTIF($F19:$H19,$D19)&gt;0,1,0)+IF($E19="",0,IF(COUNTIF($F19:$H19,$E19)&gt;0,1,0)))/IF($E19="",1,2)))</f>
        <v/>
      </c>
      <c r="R19" s="6">
        <f>IF($C19&lt;&gt;"규정 정답","",IF(COUNTA($F19:$J19)=0,"",IF(P19+Q19=0,0,2*P19*Q19/(P19+Q19))))</f>
        <v/>
      </c>
      <c r="S19" s="6">
        <f>IF($C19&lt;&gt;"규정 정답","",IF(COUNTA($F19:$J19)=0,"",(IF(COUNTIF($F19:$J19,$D19)&gt;0,1,0)+IF($E19="",0,IF(COUNTIF($F19:$J19,$E19)&gt;0,1,0)))/5))</f>
        <v/>
      </c>
      <c r="T19" s="6">
        <f>IF($C19&lt;&gt;"규정 정답","",IF(COUNTA($F19:$J19)=0,"",(IF(COUNTIF($F19:$J19,$D19)&gt;0,1,0)+IF($E19="",0,IF(COUNTIF($F19:$J19,$E19)&gt;0,1,0)))/IF($E19="",1,2)))</f>
        <v/>
      </c>
      <c r="U19" s="6">
        <f>IF($C19&lt;&gt;"규정 정답","",IF(COUNTA($F19:$J19)=0,"",IF(S19+T19=0,0,2*S19*T19/(S19+T19))))</f>
        <v/>
      </c>
    </row>
    <row r="20" spans="1:21">
      <c r="A20" s="4" t="s">
        <v>76</v>
      </c>
      <c r="B20" s="5" t="s">
        <v>77</v>
      </c>
      <c r="C20" s="4" t="s">
        <v>78</v>
      </c>
      <c r="D20" s="4" t="s">
        <v>34</v>
      </c>
      <c r="E20" s="4" t="s">
        <v>34</v>
      </c>
      <c r="F20" s="4"/>
      <c r="G20" s="4"/>
      <c r="H20" s="4"/>
      <c r="I20" s="4"/>
      <c r="J20" s="4"/>
      <c r="K20" s="6">
        <f>IF($C20&lt;&gt;"규정 정답","",IF(COUNTA($F20:$J20)=0,"",IF(IF(COUNTIF($F20:$H20,$D20)&gt;0,1,0)+IF($E20="",0,IF(COUNTIF($F20:$H20,$E20)&gt;0,1,0))&gt;0,1,0)))</f>
        <v/>
      </c>
      <c r="L20" s="6">
        <f>IF($C20&lt;&gt;"규정 정답","",IF(COUNTA($F20:$J20)=0,"",MAX(IFERROR(1/MATCH($D20,$F20:$J20,0),0),IF($E20="",0,IFERROR(1/MATCH($E20,$F20:$J20,0),0)))))</f>
        <v/>
      </c>
      <c r="M20" s="6">
        <f>IF($C20&lt;&gt;"규정 정답","",IF(COUNTA($F20:$J20)=0,"",(IF(COUNTIF($F20:$F20,$D20)&gt;0,1,0)+IF($E20="",0,IF(COUNTIF($F20:$F20,$E20)&gt;0,1,0)))/1))</f>
        <v/>
      </c>
      <c r="N20" s="6">
        <f>IF($C20&lt;&gt;"규정 정답","",IF(COUNTA($F20:$J20)=0,"",(IF(COUNTIF($F20:$F20,$D20)&gt;0,1,0)+IF($E20="",0,IF(COUNTIF($F20:$F20,$E20)&gt;0,1,0)))/IF($E20="",1,2)))</f>
        <v/>
      </c>
      <c r="O20" s="6">
        <f>IF($C20&lt;&gt;"규정 정답","",IF(COUNTA($F20:$J20)=0,"",IF(M20+N20=0,0,2*M20*N20/(M20+N20))))</f>
        <v/>
      </c>
      <c r="P20" s="6">
        <f>IF($C20&lt;&gt;"규정 정답","",IF(COUNTA($F20:$J20)=0,"",(IF(COUNTIF($F20:$H20,$D20)&gt;0,1,0)+IF($E20="",0,IF(COUNTIF($F20:$H20,$E20)&gt;0,1,0)))/3))</f>
        <v/>
      </c>
      <c r="Q20" s="6">
        <f>IF($C20&lt;&gt;"규정 정답","",IF(COUNTA($F20:$J20)=0,"",(IF(COUNTIF($F20:$H20,$D20)&gt;0,1,0)+IF($E20="",0,IF(COUNTIF($F20:$H20,$E20)&gt;0,1,0)))/IF($E20="",1,2)))</f>
        <v/>
      </c>
      <c r="R20" s="6">
        <f>IF($C20&lt;&gt;"규정 정답","",IF(COUNTA($F20:$J20)=0,"",IF(P20+Q20=0,0,2*P20*Q20/(P20+Q20))))</f>
        <v/>
      </c>
      <c r="S20" s="6">
        <f>IF($C20&lt;&gt;"규정 정답","",IF(COUNTA($F20:$J20)=0,"",(IF(COUNTIF($F20:$J20,$D20)&gt;0,1,0)+IF($E20="",0,IF(COUNTIF($F20:$J20,$E20)&gt;0,1,0)))/5))</f>
        <v/>
      </c>
      <c r="T20" s="6">
        <f>IF($C20&lt;&gt;"규정 정답","",IF(COUNTA($F20:$J20)=0,"",(IF(COUNTIF($F20:$J20,$D20)&gt;0,1,0)+IF($E20="",0,IF(COUNTIF($F20:$J20,$E20)&gt;0,1,0)))/IF($E20="",1,2)))</f>
        <v/>
      </c>
      <c r="U20" s="6">
        <f>IF($C20&lt;&gt;"규정 정답","",IF(COUNTA($F20:$J20)=0,"",IF(S20+T20=0,0,2*S20*T20/(S20+T20))))</f>
        <v/>
      </c>
    </row>
    <row r="21" spans="1:21">
      <c r="A21" s="4" t="s">
        <v>79</v>
      </c>
      <c r="B21" s="5" t="s">
        <v>80</v>
      </c>
      <c r="C21" s="4" t="s">
        <v>78</v>
      </c>
      <c r="D21" s="4" t="s">
        <v>34</v>
      </c>
      <c r="E21" s="4" t="s">
        <v>34</v>
      </c>
      <c r="F21" s="4"/>
      <c r="G21" s="4"/>
      <c r="H21" s="4"/>
      <c r="I21" s="4"/>
      <c r="J21" s="4"/>
      <c r="K21" s="6">
        <f>IF($C21&lt;&gt;"규정 정답","",IF(COUNTA($F21:$J21)=0,"",IF(IF(COUNTIF($F21:$H21,$D21)&gt;0,1,0)+IF($E21="",0,IF(COUNTIF($F21:$H21,$E21)&gt;0,1,0))&gt;0,1,0)))</f>
        <v/>
      </c>
      <c r="L21" s="6">
        <f>IF($C21&lt;&gt;"규정 정답","",IF(COUNTA($F21:$J21)=0,"",MAX(IFERROR(1/MATCH($D21,$F21:$J21,0),0),IF($E21="",0,IFERROR(1/MATCH($E21,$F21:$J21,0),0)))))</f>
        <v/>
      </c>
      <c r="M21" s="6">
        <f>IF($C21&lt;&gt;"규정 정답","",IF(COUNTA($F21:$J21)=0,"",(IF(COUNTIF($F21:$F21,$D21)&gt;0,1,0)+IF($E21="",0,IF(COUNTIF($F21:$F21,$E21)&gt;0,1,0)))/1))</f>
        <v/>
      </c>
      <c r="N21" s="6">
        <f>IF($C21&lt;&gt;"규정 정답","",IF(COUNTA($F21:$J21)=0,"",(IF(COUNTIF($F21:$F21,$D21)&gt;0,1,0)+IF($E21="",0,IF(COUNTIF($F21:$F21,$E21)&gt;0,1,0)))/IF($E21="",1,2)))</f>
        <v/>
      </c>
      <c r="O21" s="6">
        <f>IF($C21&lt;&gt;"규정 정답","",IF(COUNTA($F21:$J21)=0,"",IF(M21+N21=0,0,2*M21*N21/(M21+N21))))</f>
        <v/>
      </c>
      <c r="P21" s="6">
        <f>IF($C21&lt;&gt;"규정 정답","",IF(COUNTA($F21:$J21)=0,"",(IF(COUNTIF($F21:$H21,$D21)&gt;0,1,0)+IF($E21="",0,IF(COUNTIF($F21:$H21,$E21)&gt;0,1,0)))/3))</f>
        <v/>
      </c>
      <c r="Q21" s="6">
        <f>IF($C21&lt;&gt;"규정 정답","",IF(COUNTA($F21:$J21)=0,"",(IF(COUNTIF($F21:$H21,$D21)&gt;0,1,0)+IF($E21="",0,IF(COUNTIF($F21:$H21,$E21)&gt;0,1,0)))/IF($E21="",1,2)))</f>
        <v/>
      </c>
      <c r="R21" s="6">
        <f>IF($C21&lt;&gt;"규정 정답","",IF(COUNTA($F21:$J21)=0,"",IF(P21+Q21=0,0,2*P21*Q21/(P21+Q21))))</f>
        <v/>
      </c>
      <c r="S21" s="6">
        <f>IF($C21&lt;&gt;"규정 정답","",IF(COUNTA($F21:$J21)=0,"",(IF(COUNTIF($F21:$J21,$D21)&gt;0,1,0)+IF($E21="",0,IF(COUNTIF($F21:$J21,$E21)&gt;0,1,0)))/5))</f>
        <v/>
      </c>
      <c r="T21" s="6">
        <f>IF($C21&lt;&gt;"규정 정답","",IF(COUNTA($F21:$J21)=0,"",(IF(COUNTIF($F21:$J21,$D21)&gt;0,1,0)+IF($E21="",0,IF(COUNTIF($F21:$J21,$E21)&gt;0,1,0)))/IF($E21="",1,2)))</f>
        <v/>
      </c>
      <c r="U21" s="6">
        <f>IF($C21&lt;&gt;"규정 정답","",IF(COUNTA($F21:$J21)=0,"",IF(S21+T21=0,0,2*S21*T21/(S21+T21))))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FormatPr defaultRowHeight="15"/>
  <cols>
    <col min="1" max="4" width="16.7109375" customWidth="1"/>
    <col min="5" max="5" width="58.7109375" customWidth="1"/>
  </cols>
  <sheetData>
    <row r="1" spans="1:5">
      <c r="A1" s="3" t="s">
        <v>83</v>
      </c>
      <c r="B1" s="3" t="s">
        <v>84</v>
      </c>
      <c r="C1" s="3" t="s">
        <v>85</v>
      </c>
      <c r="D1" s="3" t="s">
        <v>86</v>
      </c>
      <c r="E1" s="3" t="s">
        <v>87</v>
      </c>
    </row>
    <row r="2" spans="1:5">
      <c r="A2" s="1" t="s">
        <v>88</v>
      </c>
      <c r="B2" s="6">
        <f>COUNT(eval!$M$2:$M$21)</f>
        <v/>
      </c>
      <c r="C2" s="6">
        <f>COUNT(eval_B!$M$2:$M$21)</f>
        <v/>
      </c>
      <c r="E2" t="s">
        <v>89</v>
      </c>
    </row>
    <row r="3" spans="1:5">
      <c r="A3" s="1" t="s">
        <v>90</v>
      </c>
      <c r="B3" s="6">
        <f>IFERROR(AVERAGE(eval!$M$2:$M$21),"")</f>
        <v/>
      </c>
      <c r="C3" s="6">
        <f>IFERROR(AVERAGE(eval_B!$M$2:$M$21),"")</f>
        <v/>
      </c>
      <c r="D3" s="6">
        <f>IF(OR(B3="",C3=""),"",C3-B3)</f>
        <v/>
      </c>
      <c r="E3" t="s">
        <v>91</v>
      </c>
    </row>
    <row r="4" spans="1:5">
      <c r="A4" s="1" t="s">
        <v>92</v>
      </c>
      <c r="B4" s="6">
        <f>IFERROR(AVERAGE(eval!$N$2:$N$21),"")</f>
        <v/>
      </c>
      <c r="C4" s="6">
        <f>IFERROR(AVERAGE(eval_B!$N$2:$N$21),"")</f>
        <v/>
      </c>
      <c r="D4" s="6">
        <f>IF(OR(B4="",C4=""),"",C4-B4)</f>
        <v/>
      </c>
      <c r="E4" t="s">
        <v>93</v>
      </c>
    </row>
    <row r="5" spans="1:5">
      <c r="A5" s="1" t="s">
        <v>94</v>
      </c>
      <c r="B5" s="6">
        <f>IFERROR(AVERAGE(eval!$O$2:$O$21),"")</f>
        <v/>
      </c>
      <c r="C5" s="6">
        <f>IFERROR(AVERAGE(eval_B!$O$2:$O$21),"")</f>
        <v/>
      </c>
      <c r="D5" s="6">
        <f>IF(OR(B5="",C5=""),"",C5-B5)</f>
        <v/>
      </c>
      <c r="E5" t="s">
        <v>95</v>
      </c>
    </row>
    <row r="6" spans="1:5">
      <c r="A6" s="1" t="s">
        <v>96</v>
      </c>
      <c r="B6" s="6">
        <f>IFERROR(AVERAGE(eval!$P$2:$P$21),"")</f>
        <v/>
      </c>
      <c r="C6" s="6">
        <f>IFERROR(AVERAGE(eval_B!$P$2:$P$21),"")</f>
        <v/>
      </c>
      <c r="D6" s="6">
        <f>IF(OR(B6="",C6=""),"",C6-B6)</f>
        <v/>
      </c>
      <c r="E6" t="s">
        <v>91</v>
      </c>
    </row>
    <row r="7" spans="1:5">
      <c r="A7" s="1" t="s">
        <v>97</v>
      </c>
      <c r="B7" s="6">
        <f>IFERROR(AVERAGE(eval!$Q$2:$Q$21),"")</f>
        <v/>
      </c>
      <c r="C7" s="6">
        <f>IFERROR(AVERAGE(eval_B!$Q$2:$Q$21),"")</f>
        <v/>
      </c>
      <c r="D7" s="6">
        <f>IF(OR(B7="",C7=""),"",C7-B7)</f>
        <v/>
      </c>
      <c r="E7" t="s">
        <v>93</v>
      </c>
    </row>
    <row r="8" spans="1:5">
      <c r="A8" s="1" t="s">
        <v>98</v>
      </c>
      <c r="B8" s="6">
        <f>IFERROR(AVERAGE(eval!$R$2:$R$21),"")</f>
        <v/>
      </c>
      <c r="C8" s="6">
        <f>IFERROR(AVERAGE(eval_B!$R$2:$R$21),"")</f>
        <v/>
      </c>
      <c r="D8" s="6">
        <f>IF(OR(B8="",C8=""),"",C8-B8)</f>
        <v/>
      </c>
      <c r="E8" t="s">
        <v>95</v>
      </c>
    </row>
    <row r="9" spans="1:5">
      <c r="A9" s="1" t="s">
        <v>99</v>
      </c>
      <c r="B9" s="6">
        <f>IFERROR(AVERAGE(eval!$S$2:$S$21),"")</f>
        <v/>
      </c>
      <c r="C9" s="6">
        <f>IFERROR(AVERAGE(eval_B!$S$2:$S$21),"")</f>
        <v/>
      </c>
      <c r="D9" s="6">
        <f>IF(OR(B9="",C9=""),"",C9-B9)</f>
        <v/>
      </c>
      <c r="E9" t="s">
        <v>91</v>
      </c>
    </row>
    <row r="10" spans="1:5">
      <c r="A10" s="1" t="s">
        <v>100</v>
      </c>
      <c r="B10" s="6">
        <f>IFERROR(AVERAGE(eval!$T$2:$T$21),"")</f>
        <v/>
      </c>
      <c r="C10" s="6">
        <f>IFERROR(AVERAGE(eval_B!$T$2:$T$21),"")</f>
        <v/>
      </c>
      <c r="D10" s="6">
        <f>IF(OR(B10="",C10=""),"",C10-B10)</f>
        <v/>
      </c>
      <c r="E10" t="s">
        <v>93</v>
      </c>
    </row>
    <row r="11" spans="1:5">
      <c r="A11" s="1" t="s">
        <v>101</v>
      </c>
      <c r="B11" s="6">
        <f>IFERROR(AVERAGE(eval!$U$2:$U$21),"")</f>
        <v/>
      </c>
      <c r="C11" s="6">
        <f>IFERROR(AVERAGE(eval_B!$U$2:$U$21),"")</f>
        <v/>
      </c>
      <c r="D11" s="6">
        <f>IF(OR(B11="",C11=""),"",C11-B11)</f>
        <v/>
      </c>
      <c r="E11" t="s">
        <v>95</v>
      </c>
    </row>
    <row r="12" spans="1:5">
      <c r="A12" s="1" t="s">
        <v>102</v>
      </c>
      <c r="B12" s="6">
        <f>IFERROR(AVERAGE(eval!$K$2:$K$21),"")</f>
        <v/>
      </c>
      <c r="C12" s="6">
        <f>IFERROR(AVERAGE(eval_B!$K$2:$K$21),"")</f>
        <v/>
      </c>
      <c r="D12" s="6">
        <f>IF(OR(B12="",C12=""),"",C12-B12)</f>
        <v/>
      </c>
      <c r="E12" t="s">
        <v>103</v>
      </c>
    </row>
    <row r="13" spans="1:5">
      <c r="A13" s="1" t="s">
        <v>104</v>
      </c>
      <c r="B13" s="6">
        <f>IFERROR(AVERAGE(eval!$L$2:$L$21),"")</f>
        <v/>
      </c>
      <c r="C13" s="6">
        <f>IFERROR(AVERAGE(eval_B!$L$2:$L$21),"")</f>
        <v/>
      </c>
      <c r="D13" s="6">
        <f>IF(OR(B13="",C13=""),"",C13-B13)</f>
        <v/>
      </c>
      <c r="E13" t="s">
        <v>105</v>
      </c>
    </row>
    <row r="14" spans="1:5">
      <c r="A14" s="1" t="s">
        <v>106</v>
      </c>
      <c r="B14" s="6">
        <f>IF(COUNT(B5,B8,B11)=0,"",IF(MAX(B5,B8,B11)=B5,1,IF(MAX(B5,B8,B11)=B8,3,5)))</f>
        <v/>
      </c>
      <c r="C14" s="6">
        <f>IF(COUNT(C5,C8,C11)=0,"",IF(MAX(C5,C8,C11)=C5,1,IF(MAX(C5,C8,C11)=C8,3,5)))</f>
        <v/>
      </c>
      <c r="E14" t="s">
        <v>107</v>
      </c>
    </row>
    <row r="16" spans="1:5">
      <c r="A16" s="1" t="s">
        <v>108</v>
      </c>
      <c r="B16" s="7"/>
    </row>
    <row r="17" spans="1:3">
      <c r="A17" s="1" t="s">
        <v>109</v>
      </c>
      <c r="B17" s="7"/>
    </row>
    <row r="20" spans="1:3">
      <c r="A20" s="3" t="s">
        <v>110</v>
      </c>
      <c r="B20" s="3" t="s">
        <v>111</v>
      </c>
      <c r="C20" s="3" t="s">
        <v>112</v>
      </c>
    </row>
    <row r="21" spans="1:3">
      <c r="A21" s="1">
        <v>1</v>
      </c>
      <c r="B21" s="6">
        <f>B5</f>
        <v/>
      </c>
      <c r="C21" s="6">
        <f>C5</f>
        <v/>
      </c>
    </row>
    <row r="22" spans="1:3">
      <c r="A22" s="1">
        <v>3</v>
      </c>
      <c r="B22" s="6">
        <f>B8</f>
        <v/>
      </c>
      <c r="C22" s="6">
        <f>C8</f>
        <v/>
      </c>
    </row>
    <row r="23" spans="1:3">
      <c r="A23" s="1">
        <v>5</v>
      </c>
      <c r="B23" s="6">
        <f>B11</f>
        <v/>
      </c>
      <c r="C23" s="6">
        <f>C11</f>
        <v/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eval</vt:lpstr>
      <vt:lpstr>eval_B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d5_rag_eval</dc:title>
  <dc:creator>tradefin-ai-2026 tools</dc:creator>
  <dc:description>Day5 RAG 평가 시트 — 채팅(프로젝트)으로 한 검색을 P@K·R@K·F1@K(K = 1·3·5), Hit@3, MRR로 잰다</dc:description>
  <cp:lastModifiedBy>tradefin-ai-2026 tools</cp:lastModifiedBy>
  <dcterms:created xsi:type="dcterms:W3CDTF">2026-10-01T00:00:00Z</dcterms:created>
  <dcterms:modified xsi:type="dcterms:W3CDTF">2026-10-01T00:00:00Z</dcterms:modified>
</cp:coreProperties>
</file>