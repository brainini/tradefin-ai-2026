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B001_손계산" sheetId="2" state="visible" r:id="rId2"/>
    <sheet xmlns:r="http://schemas.openxmlformats.org/officeDocument/2006/relationships" name="확인표_A" sheetId="3" state="visible" r:id="rId3"/>
    <sheet xmlns:r="http://schemas.openxmlformats.org/officeDocument/2006/relationships" name="확인표_B" sheetId="4" state="visible" r:id="rId4"/>
    <sheet xmlns:r="http://schemas.openxmlformats.org/officeDocument/2006/relationships" name="buyers_원본" sheetId="5" state="visible" r:id="rId5"/>
    <sheet xmlns:r="http://schemas.openxmlformats.org/officeDocument/2006/relationships" name="환율_기준일" sheetId="6" state="visible" r:id="rId6"/>
    <sheet xmlns:r="http://schemas.openxmlformats.org/officeDocument/2006/relationships" name="뉴스_앞100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#,##0.0000"/>
    <numFmt numFmtId="167" formatCode="yyyy-mm-dd h:mm:ss"/>
  </numFmts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sz val="10"/>
    </font>
    <font>
      <name val="맑은 고딕"/>
      <sz val="10"/>
    </font>
    <font>
      <name val="맑은 고딕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4" fontId="3" fillId="4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3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4" fontId="3" fillId="5" borderId="1" applyAlignment="1" pivotButton="0" quotePrefix="0" xfId="0">
      <alignment vertical="top"/>
    </xf>
    <xf numFmtId="164" fontId="3" fillId="4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2" fontId="3" fillId="4" borderId="1" applyAlignment="1" pivotButton="0" quotePrefix="0" xfId="0">
      <alignment vertical="top"/>
    </xf>
    <xf numFmtId="2" fontId="3" fillId="3" borderId="1" applyAlignment="1" pivotButton="0" quotePrefix="0" xfId="0">
      <alignment vertical="top"/>
    </xf>
    <xf numFmtId="2" fontId="3" fillId="5" borderId="1" applyAlignment="1" pivotButton="0" quotePrefix="0" xfId="0">
      <alignment vertical="top"/>
    </xf>
    <xf numFmtId="165" fontId="3" fillId="3" borderId="1" applyAlignment="1" pivotButton="0" quotePrefix="0" xfId="0">
      <alignment vertical="top"/>
    </xf>
    <xf numFmtId="166" fontId="3" fillId="3" borderId="1" applyAlignment="1" pivotButton="0" quotePrefix="0" xfId="0">
      <alignment vertical="top"/>
    </xf>
    <xf numFmtId="165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2일차 엑셀 검산본 — 실습 확인표를 엑셀 수식으로 다시 계산</t>
        </is>
      </c>
    </row>
    <row r="3" ht="30" customHeight="1">
      <c r="A3" s="2" t="inlineStr">
        <is>
          <t>무엇</t>
        </is>
      </c>
      <c r="B3" s="3" t="inlineStr">
        <is>
          <t>실습 A 확인표(슬라이드 d2-70) 여섯 줄을 사람이 엑셀만으로 계산했다면 어떻게 나오는지 보여 주는 완성본입니다. 확인표_B 시트는 실습 B 확인표(d2-73)의 30일 창 · 바이어 수를 같은 방법으로 셉니다.</t>
        </is>
      </c>
    </row>
    <row r="4" ht="30" customHeight="1">
      <c r="A4" s="2" t="inlineStr">
        <is>
          <t>왜</t>
        </is>
      </c>
      <c r="B4" s="3" t="inlineStr">
        <is>
          <t>AI(Claude Code)가 스크립트로 만든 d2_buyers_clean.csv · d2_end_features.csv의 숫자를 코드가 아닌 다른 길로 한 번 더 확인하는 기준입니다. 정답지가 아닙니다 — 다르면 어느 규칙에서 갈렸는지 찾는 것이 실습입니다. 엑셀을 직접 만들 필요는 없습니다.</t>
        </is>
      </c>
    </row>
    <row r="5" ht="30" customHeight="1">
      <c r="A5" s="2" t="inlineStr">
        <is>
          <t>칸 색</t>
        </is>
      </c>
      <c r="B5" s="3" t="inlineStr">
        <is>
          <t>노란 칸 = 수식(칸을 누르면 수식 막대에 수식이 보입니다) · 회색 칸 = d2_start.xlsx의 원래 값 그대로 · 흰 칸 = 내가 적는 칸(선택).</t>
        </is>
      </c>
    </row>
    <row r="6" ht="45" customHeight="1">
      <c r="A6" s="2" t="inlineStr">
        <is>
          <t>어떻게 만들었나</t>
        </is>
      </c>
      <c r="B6" s="3" t="inlineStr">
        <is>
          <t>buyers_원본 · 환율_기준일 · 뉴스_앞100행 시트에 공개 파일(d2_start.xlsx · d2_news.csv)의 값을 고치지 않고 옮기고, 나머지는 모두 수식입니다. 기준일 2026-08-31, 환율은 그날 값(엔화는 100엔당 값이라 ÷100). 검산에 쓰지 않는 열(결제방식 · 국가 · 연령 구간 일부 · 재무 외 열)은 옮기지 않았습니다.</t>
        </is>
      </c>
    </row>
    <row r="7" ht="90" customHeight="1">
      <c r="A7" s="2" t="inlineStr">
        <is>
          <t>시트</t>
        </is>
      </c>
      <c r="B7" s="3" t="inlineStr">
        <is>
          <t>B001_손계산 — 인쇄 단계 05의 'B001 손계산'을 수식으로 · B009(글자 섞인 칸) · B072(단위 의심)도
확인표_A — 실습 A 확인표 여섯 줄 + 통화 표기 9가지 → 표준 4종
확인표_B — 실습 B의 30일 창 (2026-08-01, 2026-08-31] 기사 · 바이어 수
buyers_원본 · 환율_기준일 · 뉴스_앞100행 — 원래 값과 보조 열(노란 칸)</t>
        </is>
      </c>
    </row>
    <row r="8" ht="30" customHeight="1">
      <c r="A8" s="2" t="inlineStr">
        <is>
          <t>엑셀이 못 하는 것</t>
        </is>
      </c>
      <c r="B8" s="3" t="inlineStr">
        <is>
          <t>글자가 섞인 금액 13칸(' 195900 ' · 'CNY 317,000' · '47.0k' …)은 수식으로 숫자를 만들지 않고 '글자 섞임'으로만 표시합니다. 엑셀로는 이 칸을 사람이 하나씩 고쳐야 합니다 — 그래서 규칙을 문서로 정하고 스크립트로 고칩니다.</t>
        </is>
      </c>
    </row>
    <row r="9" ht="30" customHeight="1">
      <c r="A9" s="2" t="inlineStr">
        <is>
          <t>주의</t>
        </is>
      </c>
      <c r="B9" s="3" t="inlineStr">
        <is>
          <t>이 파일은 고치지 말고 읽기만 합니다(필요하면 사본을 만들어 씁니다). 숫자가 내 결과와 다르면 '어느 규칙에서 갈렸나'를 AI에게 먼저 묻습니다.</t>
        </is>
      </c>
    </row>
    <row r="10" ht="30" customHeight="1">
      <c r="A10" s="2" t="inlineStr">
        <is>
          <t>데이터</t>
        </is>
      </c>
      <c r="B10" s="3" t="inlineStr">
        <is>
          <t>(가상) 한빛정밀(주)의 합성 데이터 · CC BY 4.0. 환율은 미국 연준 H.10 환율(FRED 제공) · Public Domain: Citation Requested.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30" customWidth="1" min="4" max="4"/>
  </cols>
  <sheetData>
    <row r="1">
      <c r="A1" s="1" t="inlineStr">
        <is>
          <t>B001 손계산 — 인쇄 단계 05의 'B001 손계산'을 대신하는 완성본</t>
        </is>
      </c>
    </row>
    <row r="2">
      <c r="A2" s="4" t="inlineStr">
        <is>
          <t>노란 칸을 눌러 수식을 봅니다. 원하면 흰 칸(B13)에 =18100*1589.5/1368.25 를 한 번 직접 쳐 봅니다(1분).</t>
        </is>
      </c>
    </row>
    <row r="4">
      <c r="A4" s="2" t="inlineStr">
        <is>
          <t>항목</t>
        </is>
      </c>
      <c r="B4" s="2" t="inlineStr">
        <is>
          <t>값</t>
        </is>
      </c>
      <c r="C4" s="2" t="inlineStr">
        <is>
          <t>어디서 · 수식</t>
        </is>
      </c>
      <c r="D4" s="2" t="inlineStr">
        <is>
          <t>메모</t>
        </is>
      </c>
    </row>
    <row r="5">
      <c r="A5" s="5" t="inlineStr">
        <is>
          <t>B001 잔액(원래 통화)</t>
        </is>
      </c>
      <c r="B5" s="6">
        <f>'buyers_원본'!C2</f>
        <v>18100</v>
      </c>
      <c r="C5" s="5" t="inlineStr">
        <is>
          <t>buyers_원본 C2</t>
        </is>
      </c>
      <c r="D5" s="7" t="str">
        <f>'buyers_원본'!B2</f>
        <v>EUR</v>
      </c>
    </row>
    <row r="6">
      <c r="A6" s="5" t="inlineStr">
        <is>
          <t>기준일 EUR 환율(원)</t>
        </is>
      </c>
      <c r="B6" s="8">
        <f>'환율_기준일'!E5</f>
        <v>1589.5</v>
      </c>
      <c r="C6" s="5" t="inlineStr">
        <is>
          <t>환율_기준일 E5(2026-08-31)</t>
        </is>
      </c>
      <c r="D6" s="5" t="inlineStr"/>
    </row>
    <row r="7">
      <c r="A7" s="5" t="inlineStr">
        <is>
          <t>기준일 USD 환율(원)</t>
        </is>
      </c>
      <c r="B7" s="8">
        <f>'환율_기준일'!E4</f>
        <v>1368.25</v>
      </c>
      <c r="C7" s="5" t="inlineStr">
        <is>
          <t>환율_기준일 E4(2026-08-31)</t>
        </is>
      </c>
      <c r="D7" s="5" t="inlineStr"/>
    </row>
    <row r="8">
      <c r="A8" s="9" t="inlineStr">
        <is>
          <t>B001 ar_balance_usd</t>
        </is>
      </c>
      <c r="B8" s="10">
        <f>ROUND(B5*B6/B7,2)</f>
        <v>21026.82</v>
      </c>
      <c r="C8" s="5" t="inlineStr">
        <is>
          <t>수식: ROUND(잔액 × EUR ÷ USD, 2)</t>
        </is>
      </c>
      <c r="D8" s="5" t="inlineStr">
        <is>
          <t>확인표: 21,026.82</t>
        </is>
      </c>
    </row>
    <row r="9">
      <c r="A9" s="5" t="inlineStr">
        <is>
          <t>확인표 기대값(인쇄 d2-70)</t>
        </is>
      </c>
      <c r="B9" s="11" t="n">
        <v>21026.82</v>
      </c>
    </row>
    <row r="10">
      <c r="A10" s="5" t="inlineStr">
        <is>
          <t>같음?</t>
        </is>
      </c>
      <c r="B10" s="12" t="str">
        <f>IF(ABS(B8-B9)&lt;0.005,"같음","다름")</f>
        <v>같음</v>
      </c>
    </row>
    <row r="12">
      <c r="A12" s="5" t="inlineStr">
        <is>
          <t>내 CSV의 B001 ar_balance_usd(직접 적기 · 선택)</t>
        </is>
      </c>
      <c r="B12" s="13" t="n"/>
      <c r="C12" s="7" t="str">
        <f>IF(B12="","",IF(ABS(B12-B8)&lt;0.005,"엑셀과 같음","엑셀과 다름 — 어느 규칙에서 갈렸나?"))</f>
        <v/>
      </c>
    </row>
    <row r="13">
      <c r="A13" s="5" t="inlineStr">
        <is>
          <t>직접 쳐 보기(선택 · 1분)</t>
        </is>
      </c>
      <c r="B13" s="13" t="n"/>
      <c r="C13" s="5" t="inlineStr">
        <is>
          <t>이 행의 흰 칸 B13에 =18100*1589.5/1368.25 를 칩니다</t>
        </is>
      </c>
    </row>
    <row r="15">
      <c r="A15" s="2" t="inlineStr">
        <is>
          <t>B009 — 글자가 섞인 칸</t>
        </is>
      </c>
      <c r="B15" s="14" t="n"/>
      <c r="C15" s="14" t="n"/>
      <c r="D15" s="14" t="n"/>
    </row>
    <row r="16">
      <c r="A16" s="5" t="inlineStr">
        <is>
          <t>원래 칸(글자)</t>
        </is>
      </c>
      <c r="B16" s="7" t="str">
        <f>'buyers_원본'!C10</f>
        <v>CNY 317,000</v>
      </c>
      <c r="C16" s="5" t="inlineStr">
        <is>
          <t>buyers_원본 C10 — 수식으로는 숫자가 되지 않는다</t>
        </is>
      </c>
      <c r="D16" s="5" t="n"/>
    </row>
    <row r="17">
      <c r="A17" s="5" t="inlineStr">
        <is>
          <t>사람이 읽은 숫자</t>
        </is>
      </c>
      <c r="B17" s="15" t="n">
        <v>317000</v>
      </c>
      <c r="C17" s="5" t="inlineStr">
        <is>
          <t>규칙 2칸: 통화 글자 · 쉼표를 지우고 숫자로(사람이 정한 규칙)</t>
        </is>
      </c>
      <c r="D17" s="5" t="n"/>
    </row>
    <row r="18">
      <c r="A18" s="5" t="inlineStr">
        <is>
          <t>기준일 CNY 환율(원)</t>
        </is>
      </c>
      <c r="B18" s="8">
        <f>'환율_기준일'!E6</f>
        <v>203.62</v>
      </c>
      <c r="C18" s="5" t="inlineStr">
        <is>
          <t>환율_기준일 E6</t>
        </is>
      </c>
      <c r="D18" s="5" t="n"/>
    </row>
    <row r="19">
      <c r="A19" s="9" t="inlineStr">
        <is>
          <t>B009 ar_balance_usd</t>
        </is>
      </c>
      <c r="B19" s="10">
        <f>ROUND(B17*B18/B7,2)</f>
        <v>47175.25</v>
      </c>
      <c r="C19" s="5" t="inlineStr">
        <is>
          <t>수식: ROUND(숫자 × CNY ÷ USD, 2)</t>
        </is>
      </c>
      <c r="D19" s="5" t="inlineStr">
        <is>
          <t>47,175.25</t>
        </is>
      </c>
    </row>
    <row r="21">
      <c r="A21" s="2" t="inlineStr">
        <is>
          <t>B072 — 단위 의심(잔액 &gt; 신용한도 × 10)</t>
        </is>
      </c>
      <c r="B21" s="14" t="n"/>
      <c r="C21" s="14" t="n"/>
      <c r="D21" s="14" t="n"/>
    </row>
    <row r="22">
      <c r="A22" s="5" t="inlineStr">
        <is>
          <t>원래 잔액</t>
        </is>
      </c>
      <c r="B22" s="6">
        <f>'buyers_원본'!C73</f>
        <v>8320000</v>
      </c>
      <c r="C22" s="5" t="inlineStr">
        <is>
          <t>buyers_원본 C73</t>
        </is>
      </c>
      <c r="D22" s="7" t="str">
        <f>'buyers_원본'!B73</f>
        <v>euro</v>
      </c>
    </row>
    <row r="23">
      <c r="A23" s="5" t="inlineStr">
        <is>
          <t>신용한도(USD)</t>
        </is>
      </c>
      <c r="B23" s="6">
        <f>'buyers_원본'!F73</f>
        <v>10000</v>
      </c>
      <c r="C23" s="5" t="inlineStr">
        <is>
          <t>buyers_원본 F73</t>
        </is>
      </c>
      <c r="D23" s="5" t="n"/>
    </row>
    <row r="24">
      <c r="A24" s="5" t="inlineStr">
        <is>
          <t>USD 환산(그대로)</t>
        </is>
      </c>
      <c r="B24" s="8">
        <f>ROUND(B22*B6/B7,2)</f>
        <v>9665368.17</v>
      </c>
      <c r="C24" s="5" t="inlineStr">
        <is>
          <t>수식: ROUND(잔액 × EUR ÷ USD, 2)</t>
        </is>
      </c>
      <c r="D24" s="5" t="n"/>
    </row>
    <row r="25">
      <c r="A25" s="5" t="inlineStr">
        <is>
          <t>한도 × 10</t>
        </is>
      </c>
      <c r="B25" s="6">
        <f>B23*10</f>
        <v>100000</v>
      </c>
      <c r="C25" s="5" t="inlineStr">
        <is>
          <t>규칙 4칸의 기준</t>
        </is>
      </c>
      <c r="D25" s="5" t="n"/>
    </row>
    <row r="26">
      <c r="A26" s="5" t="inlineStr">
        <is>
          <t>단위 의심?</t>
        </is>
      </c>
      <c r="B26" s="7" t="str">
        <f>IF(B24&gt;B25,"단위 의심 → ÷1,000","정상")</f>
        <v>단위 의심 → ÷1,000</v>
      </c>
      <c r="C26" s="5" t="inlineStr">
        <is>
          <t>환산한 뒤 한도와 비교(통화가 다르면 환산 먼저)</t>
        </is>
      </c>
      <c r="D26" s="5" t="n"/>
    </row>
    <row r="27">
      <c r="A27" s="9" t="inlineStr">
        <is>
          <t>÷1,000 후 ar_balance_usd</t>
        </is>
      </c>
      <c r="B27" s="10">
        <f>ROUND(B24/1000,2)</f>
        <v>9665.37</v>
      </c>
      <c r="C27" s="5" t="inlineStr">
        <is>
          <t>확인표: 9,665.37</t>
        </is>
      </c>
      <c r="D2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4" customWidth="1" min="4" max="4"/>
    <col width="9" customWidth="1" min="5" max="5"/>
    <col width="22" customWidth="1" min="6" max="6"/>
    <col width="46" customWidth="1" min="7" max="7"/>
  </cols>
  <sheetData>
    <row r="1">
      <c r="A1" s="1" t="inlineStr">
        <is>
          <t>실습 A 확인표(슬라이드 d2-70)를 엑셀 수식으로</t>
        </is>
      </c>
    </row>
    <row r="2">
      <c r="A2" s="4" t="inlineStr">
        <is>
          <t>노란 칸 = 수식 · 회색 칸 = 인쇄된 기대값 · 흰 칸 = 내 CSV 값을 적는 칸(선택). 엑셀 값은 대체(채우기) 전 150행 기준입니다.</t>
        </is>
      </c>
    </row>
    <row r="4">
      <c r="A4" s="9" t="inlineStr">
        <is>
          <t>1. 통화 표기 9가지 → 표준 4종(대응표 = buyers_원본 N열의 VLOOKUP이 쓰는 표)</t>
        </is>
      </c>
    </row>
    <row r="5">
      <c r="A5" s="2" t="inlineStr">
        <is>
          <t>원래 표기</t>
        </is>
      </c>
      <c r="B5" s="2" t="inlineStr">
        <is>
          <t>표준 코드</t>
        </is>
      </c>
      <c r="C5" s="2" t="inlineStr">
        <is>
          <t>칸 수(대소문자 구분 — EXACT)</t>
        </is>
      </c>
    </row>
    <row r="6">
      <c r="A6" s="16" t="inlineStr">
        <is>
          <t>USD</t>
        </is>
      </c>
      <c r="B6" s="16" t="inlineStr">
        <is>
          <t>USD</t>
        </is>
      </c>
      <c r="C6" s="7">
        <f>SUMPRODUCT(--EXACT('buyers_원본'!$B$2:$B$151,A6))</f>
        <v>81</v>
      </c>
    </row>
    <row r="7">
      <c r="A7" s="16" t="inlineStr">
        <is>
          <t>US$</t>
        </is>
      </c>
      <c r="B7" s="16" t="inlineStr">
        <is>
          <t>USD</t>
        </is>
      </c>
      <c r="C7" s="7">
        <f>SUMPRODUCT(--EXACT('buyers_원본'!$B$2:$B$151,A7))</f>
        <v>15</v>
      </c>
    </row>
    <row r="8">
      <c r="A8" s="16" t="inlineStr">
        <is>
          <t>usd</t>
        </is>
      </c>
      <c r="B8" s="16" t="inlineStr">
        <is>
          <t>USD</t>
        </is>
      </c>
      <c r="C8" s="7">
        <f>SUMPRODUCT(--EXACT('buyers_원본'!$B$2:$B$151,A8))</f>
        <v>14</v>
      </c>
    </row>
    <row r="9">
      <c r="A9" s="16" t="inlineStr">
        <is>
          <t>EUR</t>
        </is>
      </c>
      <c r="B9" s="16" t="inlineStr">
        <is>
          <t>EUR</t>
        </is>
      </c>
      <c r="C9" s="7">
        <f>SUMPRODUCT(--EXACT('buyers_원본'!$B$2:$B$151,A9))</f>
        <v>18</v>
      </c>
    </row>
    <row r="10">
      <c r="A10" s="16" t="inlineStr">
        <is>
          <t>euro</t>
        </is>
      </c>
      <c r="B10" s="16" t="inlineStr">
        <is>
          <t>EUR</t>
        </is>
      </c>
      <c r="C10" s="7">
        <f>SUMPRODUCT(--EXACT('buyers_원본'!$B$2:$B$151,A10))</f>
        <v>5</v>
      </c>
    </row>
    <row r="11">
      <c r="A11" s="16" t="inlineStr">
        <is>
          <t>JPY</t>
        </is>
      </c>
      <c r="B11" s="16" t="inlineStr">
        <is>
          <t>JPY</t>
        </is>
      </c>
      <c r="C11" s="7">
        <f>SUMPRODUCT(--EXACT('buyers_원본'!$B$2:$B$151,A11))</f>
        <v>8</v>
      </c>
    </row>
    <row r="12">
      <c r="A12" s="16" t="inlineStr">
        <is>
          <t>yen</t>
        </is>
      </c>
      <c r="B12" s="16" t="inlineStr">
        <is>
          <t>JPY</t>
        </is>
      </c>
      <c r="C12" s="7">
        <f>SUMPRODUCT(--EXACT('buyers_원본'!$B$2:$B$151,A12))</f>
        <v>2</v>
      </c>
    </row>
    <row r="13">
      <c r="A13" s="16" t="inlineStr">
        <is>
          <t>CNY</t>
        </is>
      </c>
      <c r="B13" s="16" t="inlineStr">
        <is>
          <t>CNY</t>
        </is>
      </c>
      <c r="C13" s="7">
        <f>SUMPRODUCT(--EXACT('buyers_원본'!$B$2:$B$151,A13))</f>
        <v>5</v>
      </c>
    </row>
    <row r="14">
      <c r="A14" s="16" t="inlineStr">
        <is>
          <t>RMB</t>
        </is>
      </c>
      <c r="B14" s="16" t="inlineStr">
        <is>
          <t>CNY</t>
        </is>
      </c>
      <c r="C14" s="7">
        <f>SUMPRODUCT(--EXACT('buyers_원본'!$B$2:$B$151,A14))</f>
        <v>2</v>
      </c>
    </row>
    <row r="15">
      <c r="A15" s="5" t="inlineStr">
        <is>
          <t>합계</t>
        </is>
      </c>
      <c r="C15" s="7">
        <f>SUM(C6:C14)</f>
        <v>150</v>
      </c>
    </row>
    <row r="16">
      <c r="A16" s="5" t="inlineStr">
        <is>
          <t>표준 4종이 아닌 칸(정제 전)</t>
        </is>
      </c>
      <c r="C16" s="7">
        <f>C15-(C6+C9+C11+C13)</f>
        <v>38</v>
      </c>
    </row>
    <row r="18">
      <c r="A18" s="2" t="inlineStr">
        <is>
          <t>표준 코드</t>
        </is>
      </c>
      <c r="B18" s="2" t="inlineStr">
        <is>
          <t>바이어 수(수식)</t>
        </is>
      </c>
      <c r="C18" s="2" t="inlineStr">
        <is>
          <t>확인표 기대값</t>
        </is>
      </c>
      <c r="D18" s="2" t="inlineStr">
        <is>
          <t>같음?</t>
        </is>
      </c>
    </row>
    <row r="19">
      <c r="A19" s="16" t="inlineStr">
        <is>
          <t>USD</t>
        </is>
      </c>
      <c r="B19" s="7">
        <f>COUNTIF('buyers_원본'!$N$2:$N$151,A19)</f>
        <v>110</v>
      </c>
      <c r="C19" s="16" t="n">
        <v>110</v>
      </c>
      <c r="D19" s="7" t="str">
        <f>IF(B19=C19,"같음","다름")</f>
        <v>같음</v>
      </c>
    </row>
    <row r="20">
      <c r="A20" s="16" t="inlineStr">
        <is>
          <t>EUR</t>
        </is>
      </c>
      <c r="B20" s="7">
        <f>COUNTIF('buyers_원본'!$N$2:$N$151,A20)</f>
        <v>23</v>
      </c>
      <c r="C20" s="16" t="n">
        <v>23</v>
      </c>
      <c r="D20" s="7" t="str">
        <f>IF(B20=C20,"같음","다름")</f>
        <v>같음</v>
      </c>
    </row>
    <row r="21">
      <c r="A21" s="16" t="inlineStr">
        <is>
          <t>JPY</t>
        </is>
      </c>
      <c r="B21" s="7">
        <f>COUNTIF('buyers_원본'!$N$2:$N$151,A21)</f>
        <v>10</v>
      </c>
      <c r="C21" s="16" t="n">
        <v>10</v>
      </c>
      <c r="D21" s="7" t="str">
        <f>IF(B21=C21,"같음","다름")</f>
        <v>같음</v>
      </c>
    </row>
    <row r="22">
      <c r="A22" s="16" t="inlineStr">
        <is>
          <t>CNY</t>
        </is>
      </c>
      <c r="B22" s="7">
        <f>COUNTIF('buyers_원본'!$N$2:$N$151,A22)</f>
        <v>7</v>
      </c>
      <c r="C22" s="16" t="n">
        <v>7</v>
      </c>
      <c r="D22" s="7" t="str">
        <f>IF(B22=C22,"같음","다름")</f>
        <v>같음</v>
      </c>
    </row>
    <row r="24">
      <c r="A24" s="9" t="inlineStr">
        <is>
          <t>2. 확인표 여섯 줄</t>
        </is>
      </c>
    </row>
    <row r="25">
      <c r="A25" s="2" t="inlineStr">
        <is>
          <t>#</t>
        </is>
      </c>
      <c r="B25" s="2" t="inlineStr">
        <is>
          <t>확인</t>
        </is>
      </c>
      <c r="C25" s="2" t="inlineStr">
        <is>
          <t>확인표 기대값(인쇄)</t>
        </is>
      </c>
      <c r="D25" s="2" t="inlineStr">
        <is>
          <t>엑셀 검산(수식)</t>
        </is>
      </c>
      <c r="E25" s="2" t="inlineStr">
        <is>
          <t>같음?</t>
        </is>
      </c>
      <c r="F25" s="2" t="inlineStr">
        <is>
          <t>내 CSV 값(직접 적기 · 선택)</t>
        </is>
      </c>
      <c r="G25" s="2" t="inlineStr">
        <is>
          <t>엑셀이 쓴 규칙</t>
        </is>
      </c>
    </row>
    <row r="26">
      <c r="A26" s="17" t="inlineStr">
        <is>
          <t>1</t>
        </is>
      </c>
      <c r="B26" s="5" t="inlineStr">
        <is>
          <t>통화 정리</t>
        </is>
      </c>
      <c r="C26" s="16" t="inlineStr">
        <is>
          <t>USD 110 · EUR 23 · JPY 10 · CNY 7</t>
        </is>
      </c>
      <c r="D26" s="7" t="str">
        <f>"USD "&amp;B19&amp;" · EUR "&amp;B20&amp;" · JPY "&amp;B21&amp;" · CNY "&amp;B22</f>
        <v>USD 110 · EUR 23 · JPY 10 · CNY 7</v>
      </c>
      <c r="E26" s="7" t="str">
        <f>IF(D26=C26,"같음","다름")</f>
        <v>같음</v>
      </c>
      <c r="F26" s="13" t="n"/>
      <c r="G26" s="3" t="inlineStr">
        <is>
          <t>9가지 표기 → 4종(위 대응표)</t>
        </is>
      </c>
    </row>
    <row r="27">
      <c r="A27" s="17" t="inlineStr">
        <is>
          <t>2</t>
        </is>
      </c>
      <c r="B27" s="5" t="inlineStr">
        <is>
          <t>B001 잔액(USD)</t>
        </is>
      </c>
      <c r="C27" s="11" t="n">
        <v>21026.82</v>
      </c>
      <c r="D27" s="8">
        <f>'B001_손계산'!B8</f>
        <v>21026.82</v>
      </c>
      <c r="E27" s="7" t="str">
        <f>IF(ABS(D27-C27)&lt;0.005,"같음","다름")</f>
        <v>같음</v>
      </c>
      <c r="F27" s="18" t="n"/>
      <c r="G27" s="3" t="inlineStr">
        <is>
          <t>기준일 2026-08-31 환율로 환산</t>
        </is>
      </c>
    </row>
    <row r="28">
      <c r="A28" s="17" t="inlineStr">
        <is>
          <t>3</t>
        </is>
      </c>
      <c r="B28" s="5" t="inlineStr">
        <is>
          <t>단위 의심 — 바이어</t>
        </is>
      </c>
      <c r="C28" s="16" t="inlineStr">
        <is>
          <t>B072</t>
        </is>
      </c>
      <c r="D28" s="7" t="str">
        <f>INDEX('buyers_원본'!$A$2:$A$151,MATCH(1,'buyers_원본'!$W$2:$W$151,0))</f>
        <v>B072</v>
      </c>
      <c r="E28" s="7" t="str">
        <f>IF(D28=C28,"같음","다름")</f>
        <v>같음</v>
      </c>
      <c r="F28" s="13" t="n"/>
      <c r="G28" s="3" t="inlineStr">
        <is>
          <t>USD 환산 뒤 잔액 &gt; 한도 × 10(글자 섞인 칸은 판정 안 함)</t>
        </is>
      </c>
    </row>
    <row r="29">
      <c r="A29" s="17" t="inlineStr">
        <is>
          <t>3</t>
        </is>
      </c>
      <c r="B29" s="5" t="inlineStr">
        <is>
          <t>단위 의심 — 곳 수(숫자 칸)</t>
        </is>
      </c>
      <c r="C29" s="16" t="n">
        <v>1</v>
      </c>
      <c r="D29" s="7">
        <f>SUM('buyers_원본'!$W$2:$W$151)</f>
        <v>1</v>
      </c>
      <c r="E29" s="7" t="str">
        <f>IF(ABS(D29-C29)&lt;0.5,"같음","다름")</f>
        <v>같음</v>
      </c>
      <c r="F29" s="13" t="n"/>
      <c r="G29" s="3" t="inlineStr"/>
    </row>
    <row r="30">
      <c r="A30" s="17" t="inlineStr">
        <is>
          <t>3</t>
        </is>
      </c>
      <c r="B30" s="5" t="inlineStr">
        <is>
          <t>단위 의심 — ÷1,000 후 USD</t>
        </is>
      </c>
      <c r="C30" s="11" t="n">
        <v>9665.370000000001</v>
      </c>
      <c r="D30" s="8">
        <f>'B001_손계산'!B27</f>
        <v>9665.37</v>
      </c>
      <c r="E30" s="7" t="str">
        <f>IF(ABS(D30-C30)&lt;0.005,"같음","다름")</f>
        <v>같음</v>
      </c>
      <c r="F30" s="18" t="n"/>
      <c r="G30" s="3" t="inlineStr"/>
    </row>
    <row r="31">
      <c r="A31" s="17" t="inlineStr">
        <is>
          <t>4</t>
        </is>
      </c>
      <c r="B31" s="5" t="inlineStr">
        <is>
          <t>자본잠식 — 곳 수</t>
        </is>
      </c>
      <c r="C31" s="16" t="n">
        <v>2</v>
      </c>
      <c r="D31" s="7">
        <f>SUM('buyers_원본'!$Q$2:$Q$151)</f>
        <v>2</v>
      </c>
      <c r="E31" s="7" t="str">
        <f>IF(ABS(D31-C31)&lt;0.5,"같음","다름")</f>
        <v>같음</v>
      </c>
      <c r="F31" s="13" t="n"/>
      <c r="G31" s="3" t="inlineStr">
        <is>
          <t>자기자본 ≤ 0 → 부채비율 빈칸</t>
        </is>
      </c>
    </row>
    <row r="32">
      <c r="A32" s="17" t="inlineStr">
        <is>
          <t>4</t>
        </is>
      </c>
      <c r="B32" s="5" t="inlineStr">
        <is>
          <t>자본잠식 — 첫째</t>
        </is>
      </c>
      <c r="C32" s="16" t="inlineStr">
        <is>
          <t>B013</t>
        </is>
      </c>
      <c r="D32" s="7" t="str">
        <f>INDEX('buyers_원본'!$A$2:$A$151,MATCH(1,'buyers_원본'!$X$2:$X$151,0))</f>
        <v>B013</v>
      </c>
      <c r="E32" s="7" t="str">
        <f>IF(D32=C32,"같음","다름")</f>
        <v>같음</v>
      </c>
      <c r="F32" s="13" t="n"/>
      <c r="G32" s="3" t="inlineStr"/>
    </row>
    <row r="33">
      <c r="A33" s="17" t="inlineStr">
        <is>
          <t>4</t>
        </is>
      </c>
      <c r="B33" s="5" t="inlineStr">
        <is>
          <t>자본잠식 — 둘째</t>
        </is>
      </c>
      <c r="C33" s="16" t="inlineStr">
        <is>
          <t>B048</t>
        </is>
      </c>
      <c r="D33" s="7" t="str">
        <f>INDEX('buyers_원본'!$A$2:$A$151,MATCH(2,'buyers_원본'!$X$2:$X$151,0))</f>
        <v>B048</v>
      </c>
      <c r="E33" s="7" t="str">
        <f>IF(D33=C33,"같음","다름")</f>
        <v>같음</v>
      </c>
      <c r="F33" s="13" t="n"/>
      <c r="G33" s="3" t="inlineStr"/>
    </row>
    <row r="34">
      <c r="A34" s="17" t="inlineStr">
        <is>
          <t>5</t>
        </is>
      </c>
      <c r="B34" s="5" t="inlineStr">
        <is>
          <t>결측 플래그 fin_missing</t>
        </is>
      </c>
      <c r="C34" s="16" t="n">
        <v>47</v>
      </c>
      <c r="D34" s="7">
        <f>SUM('buyers_원본'!$P$2:$P$151)</f>
        <v>47</v>
      </c>
      <c r="E34" s="7" t="str">
        <f>IF(ABS(D34-C34)&lt;0.5,"같음","다름")</f>
        <v>같음</v>
      </c>
      <c r="F34" s="13" t="n"/>
      <c r="G34" s="3" t="inlineStr">
        <is>
          <t>유동자산·유동부채·총부채·자기자본·매출 중 하나라도 빈칸</t>
        </is>
      </c>
    </row>
    <row r="35">
      <c r="A35" s="17" t="inlineStr">
        <is>
          <t>5</t>
        </is>
      </c>
      <c r="B35" s="5" t="inlineStr">
        <is>
          <t>중앙값 current_ratio</t>
        </is>
      </c>
      <c r="C35" s="19" t="n">
        <v>1.4218</v>
      </c>
      <c r="D35" s="20">
        <f>ROUND(MEDIAN('buyers_원본'!$R$2:$R$151),4)</f>
        <v>1.4218</v>
      </c>
      <c r="E35" s="7" t="str">
        <f>IF(ABS(D35-C35)&lt;5e-05,"같음","다름")</f>
        <v>같음</v>
      </c>
      <c r="F35" s="21" t="n"/>
      <c r="G35" s="3" t="inlineStr">
        <is>
          <t>대체 전 150행 · 빈칸 제외</t>
        </is>
      </c>
    </row>
    <row r="36">
      <c r="A36" s="17" t="inlineStr">
        <is>
          <t>5</t>
        </is>
      </c>
      <c r="B36" s="5" t="inlineStr">
        <is>
          <t>중앙값 debt_to_equity</t>
        </is>
      </c>
      <c r="C36" s="19" t="n">
        <v>1.4579</v>
      </c>
      <c r="D36" s="20">
        <f>ROUND(MEDIAN('buyers_원본'!$S$2:$S$151),4)</f>
        <v>1.4579</v>
      </c>
      <c r="E36" s="7" t="str">
        <f>IF(ABS(D36-C36)&lt;5e-05,"같음","다름")</f>
        <v>같음</v>
      </c>
      <c r="F36" s="21" t="n"/>
      <c r="G36" s="3" t="inlineStr">
        <is>
          <t>자본잠식 2곳은 빈칸</t>
        </is>
      </c>
    </row>
    <row r="37">
      <c r="A37" s="17" t="inlineStr">
        <is>
          <t>5</t>
        </is>
      </c>
      <c r="B37" s="5" t="inlineStr">
        <is>
          <t>중앙값 dso_buyer</t>
        </is>
      </c>
      <c r="C37" s="22" t="n">
        <v>66.44</v>
      </c>
      <c r="D37" s="23">
        <f>ROUND(MEDIAN('buyers_원본'!$T$2:$T$151),2)</f>
        <v>66.44</v>
      </c>
      <c r="E37" s="7" t="str">
        <f>IF(ABS(D37-C37)&lt;0.005,"같음","다름")</f>
        <v>같음</v>
      </c>
      <c r="F37" s="24" t="n"/>
      <c r="G37" s="3" t="inlineStr">
        <is>
          <t>매출채권 ÷ 매출 × 365</t>
        </is>
      </c>
    </row>
    <row r="38">
      <c r="A38" s="17" t="inlineStr">
        <is>
          <t>5</t>
        </is>
      </c>
      <c r="B38" s="5" t="inlineStr">
        <is>
          <t>중앙값 op_margin</t>
        </is>
      </c>
      <c r="C38" s="19" t="n">
        <v>0.0654</v>
      </c>
      <c r="D38" s="20">
        <f>ROUND(MEDIAN('buyers_원본'!$U$2:$U$151),4)</f>
        <v>0.0654</v>
      </c>
      <c r="E38" s="7" t="str">
        <f>IF(ABS(D38-C38)&lt;5e-05,"같음","다름")</f>
        <v>같음</v>
      </c>
      <c r="F38" s="21" t="n"/>
      <c r="G38" s="3" t="inlineStr">
        <is>
          <t>영업이익 ÷ 매출</t>
        </is>
      </c>
    </row>
    <row r="39">
      <c r="A39" s="17" t="inlineStr">
        <is>
          <t>6</t>
        </is>
      </c>
      <c r="B39" s="5" t="inlineStr">
        <is>
          <t>기록</t>
        </is>
      </c>
      <c r="C39" s="16" t="inlineStr">
        <is>
          <t>테스트 통과 · 스케일 비교 표 · 커밋 2개+ · PR 1개(Closes #n)</t>
        </is>
      </c>
      <c r="D39" s="5" t="inlineStr">
        <is>
          <t>엑셀로 보지 않는다</t>
        </is>
      </c>
      <c r="E39" s="5" t="inlineStr"/>
      <c r="F39" s="13" t="n"/>
      <c r="G39" s="3" t="inlineStr">
        <is>
          <t>터미널 uv run pytest -q · GitHub PR에서 확인</t>
        </is>
      </c>
    </row>
    <row r="41">
      <c r="A41" s="9" t="inlineStr">
        <is>
          <t>덧</t>
        </is>
      </c>
      <c r="B41" s="5" t="inlineStr">
        <is>
          <t>글자가 섞인 금액 칸(정제 전)</t>
        </is>
      </c>
      <c r="C41" s="16" t="n">
        <v>13</v>
      </c>
      <c r="D41" s="7">
        <f>SUM('buyers_원본'!$O$2:$O$151)</f>
        <v>13</v>
      </c>
      <c r="E41" s="7" t="str">
        <f>IF(ABS(D41-C41)&lt;0.5,"같음","다름")</f>
        <v>같음</v>
      </c>
      <c r="G41" s="3" t="inlineStr">
        <is>
          <t>ar_balance 9 · ar_current 2 · ar_1_30 2 — 엑셀로는 사람이 하나씩 고쳐야 한다</t>
        </is>
      </c>
    </row>
    <row r="42">
      <c r="B42" s="5" t="inlineStr">
        <is>
          <t>B009 ar_balance_usd(CNY 317,000)</t>
        </is>
      </c>
      <c r="C42" s="11" t="n">
        <v>47175.25</v>
      </c>
      <c r="D42" s="8">
        <f>'B001_손계산'!B19</f>
        <v>47175.25</v>
      </c>
      <c r="E42" s="7" t="str">
        <f>IF(ABS(D42-C42)&lt;0.005,"같음","다름")</f>
        <v>같음</v>
      </c>
      <c r="G42" s="3" t="inlineStr">
        <is>
          <t>글자 섞인 칸 — 사람이 읽은 숫자로 계산(B001_손계산 시트)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9" customWidth="1" min="4" max="4"/>
    <col width="22" customWidth="1" min="5" max="5"/>
    <col width="58" customWidth="1" min="6" max="6"/>
  </cols>
  <sheetData>
    <row r="1">
      <c r="A1" s="1" t="inlineStr">
        <is>
          <t>실습 B 확인표(슬라이드 d2-73) — 30일 창 (2026-08-01, 2026-08-31]의 기사 · 바이어 수</t>
        </is>
      </c>
    </row>
    <row r="2">
      <c r="A2" s="4" t="inlineStr">
        <is>
          <t>d2_news.csv 앞 100행(실습 B가 채점하는 행)의 날짜로 셉니다. 점수 평균 · 평가 숫자는 사람마다 달라 엑셀로 보지 않습니다.</t>
        </is>
      </c>
    </row>
    <row r="4">
      <c r="A4" s="2" t="inlineStr">
        <is>
          <t>확인</t>
        </is>
      </c>
      <c r="B4" s="2" t="inlineStr">
        <is>
          <t>엑셀 검산(수식)</t>
        </is>
      </c>
      <c r="C4" s="2" t="inlineStr">
        <is>
          <t>확인표 기대값</t>
        </is>
      </c>
      <c r="D4" s="2" t="inlineStr">
        <is>
          <t>같음?</t>
        </is>
      </c>
      <c r="E4" s="2" t="inlineStr">
        <is>
          <t>내 결과(직접 적기 · 선택)</t>
        </is>
      </c>
      <c r="F4" s="2" t="inlineStr">
        <is>
          <t>엑셀이 쓴 규칙</t>
        </is>
      </c>
    </row>
    <row r="5">
      <c r="A5" s="5" t="inlineStr">
        <is>
          <t>앞 100행의 가장 이른 날짜</t>
        </is>
      </c>
      <c r="B5" s="25">
        <f>MIN('뉴스_앞100행'!$C$2:$C$101)</f>
        <v>46195</v>
      </c>
      <c r="C5" s="16" t="inlineStr">
        <is>
          <t>2026-06-22</t>
        </is>
      </c>
      <c r="D5" s="5" t="inlineStr"/>
      <c r="E5" s="13" t="n"/>
      <c r="F5" s="3" t="inlineStr">
        <is>
          <t>최신순 파일의 100번째 행</t>
        </is>
      </c>
    </row>
    <row r="6">
      <c r="A6" s="5" t="inlineStr">
        <is>
          <t>앞 100행의 가장 늦은 날짜</t>
        </is>
      </c>
      <c r="B6" s="25">
        <f>MAX('뉴스_앞100행'!$C$2:$C$101)</f>
        <v>46295</v>
      </c>
      <c r="C6" s="16" t="inlineStr">
        <is>
          <t>2026-09-30</t>
        </is>
      </c>
      <c r="D6" s="5" t="inlineStr"/>
      <c r="E6" s="13" t="n"/>
      <c r="F6" s="3" t="inlineStr"/>
    </row>
    <row r="7">
      <c r="A7" s="5" t="inlineStr">
        <is>
          <t>창 안 기사 수</t>
        </is>
      </c>
      <c r="B7" s="7">
        <f>SUM('뉴스_앞100행'!$E$2:$E$101)</f>
        <v>46</v>
      </c>
      <c r="C7" s="16" t="n">
        <v>46</v>
      </c>
      <c r="D7" s="7" t="str">
        <f>IF(ABS(B7-C7)&lt;0.5,"같음","다름")</f>
        <v>같음</v>
      </c>
      <c r="E7" s="13" t="n"/>
      <c r="F7" s="3" t="inlineStr">
        <is>
          <t>date &gt; 2026-08-01 이고 date ≤ 2026-08-31(8월 1일 빼고 31일 넣고)</t>
        </is>
      </c>
    </row>
    <row r="8">
      <c r="A8" s="5" t="inlineStr">
        <is>
          <t>창 안 바이어 수</t>
        </is>
      </c>
      <c r="B8" s="7">
        <f>SUM('뉴스_앞100행'!$F$2:$F$101)</f>
        <v>37</v>
      </c>
      <c r="C8" s="16" t="n">
        <v>37</v>
      </c>
      <c r="D8" s="7" t="str">
        <f>IF(ABS(B8-C8)&lt;0.5,"같음","다름")</f>
        <v>같음</v>
      </c>
      <c r="E8" s="13" t="n"/>
      <c r="F8" s="3" t="inlineStr">
        <is>
          <t>창 안 기사의 buyer_id 첫 등장만 센다</t>
        </is>
      </c>
    </row>
    <row r="9">
      <c r="A9" s="5" t="inlineStr">
        <is>
          <t>9월 기사(창 밖 — 특성에 들어가면 안 된다)</t>
        </is>
      </c>
      <c r="B9" s="7">
        <f>SUM('뉴스_앞100행'!$G$2:$G$101)</f>
        <v>40</v>
      </c>
      <c r="C9" s="16" t="n">
        <v>40</v>
      </c>
      <c r="D9" s="7" t="str">
        <f>IF(ABS(B9-C9)&lt;0.5,"같음","다름")</f>
        <v>같음</v>
      </c>
      <c r="E9" s="13" t="n"/>
      <c r="F9" s="3" t="inlineStr">
        <is>
          <t>기준일 뒤 정보 — 특성표에는 0건이어야 한다</t>
        </is>
      </c>
    </row>
    <row r="10">
      <c r="A10" s="5" t="inlineStr">
        <is>
          <t>10월 이후 기사</t>
        </is>
      </c>
      <c r="B10" s="7">
        <f>COUNTIF('뉴스_앞100행'!$C$2:$C$101,"&gt;"&amp;DATE(2026,9,30))</f>
        <v>0</v>
      </c>
      <c r="C10" s="16" t="n">
        <v>0</v>
      </c>
      <c r="D10" s="7" t="str">
        <f>IF(ABS(B10-C10)&lt;0.5,"같음","다름")</f>
        <v>같음</v>
      </c>
      <c r="E10" s="13" t="n"/>
      <c r="F10" s="3" t="inlineStr"/>
    </row>
    <row r="11">
      <c r="A11" s="5" t="inlineStr">
        <is>
          <t>뉴스 없는 바이어(150 − 창 안 바이어)</t>
        </is>
      </c>
      <c r="B11" s="7">
        <f>150-B8</f>
        <v>113</v>
      </c>
      <c r="C11" s="16" t="n">
        <v>113</v>
      </c>
      <c r="D11" s="7" t="str">
        <f>IF(ABS(B11-C11)&lt;0.5,"같음","다름")</f>
        <v>같음</v>
      </c>
      <c r="E11" s="13" t="n"/>
      <c r="F11" s="3" t="inlineStr">
        <is>
          <t>LEFT JOIN 뒤 평균 5 + no_news_flag=1로 채운다</t>
        </is>
      </c>
    </row>
    <row r="12">
      <c r="A12" s="5" t="inlineStr">
        <is>
          <t>B001 창 안 기사 수</t>
        </is>
      </c>
      <c r="B12" s="7">
        <f>COUNTIFS('뉴스_앞100행'!$B$2:$B$101,"B001",'뉴스_앞100행'!$E$2:$E$101,1)</f>
        <v>0</v>
      </c>
      <c r="C12" s="16" t="n">
        <v>0</v>
      </c>
      <c r="D12" s="7" t="str">
        <f>IF(ABS(B12-C12)&lt;0.5,"같음","다름")</f>
        <v>같음</v>
      </c>
      <c r="E12" s="13" t="n"/>
      <c r="F12" s="3" t="inlineStr">
        <is>
          <t>0건 → 평균 5.0 · no_news_flag 1</t>
        </is>
      </c>
    </row>
    <row r="14">
      <c r="A14" s="5" t="inlineStr">
        <is>
          <t>결합 뒤 행 수</t>
        </is>
      </c>
      <c r="B14" s="5" t="inlineStr">
        <is>
          <t>150(LEFT JOIN — 왼쪽 표 그대로)</t>
        </is>
      </c>
      <c r="F14" s="3" t="inlineStr">
        <is>
          <t>150이 아니면 뉴스를 바이어별로 먼저 집계하지 않고 붙인 것(1:N)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9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9" customWidth="1" min="24" max="24"/>
  </cols>
  <sheetData>
    <row r="1">
      <c r="A1" s="2" t="inlineStr">
        <is>
          <t>buyer_id</t>
        </is>
      </c>
      <c r="B1" s="2" t="inlineStr">
        <is>
          <t>currency</t>
        </is>
      </c>
      <c r="C1" s="2" t="inlineStr">
        <is>
          <t>ar_balance</t>
        </is>
      </c>
      <c r="D1" s="2" t="inlineStr">
        <is>
          <t>ar_current</t>
        </is>
      </c>
      <c r="E1" s="2" t="inlineStr">
        <is>
          <t>ar_1_30</t>
        </is>
      </c>
      <c r="F1" s="2" t="inlineStr">
        <is>
          <t>credit_limit_usd</t>
        </is>
      </c>
      <c r="G1" s="2" t="inlineStr">
        <is>
          <t>current_assets</t>
        </is>
      </c>
      <c r="H1" s="2" t="inlineStr">
        <is>
          <t>current_liabilities</t>
        </is>
      </c>
      <c r="I1" s="2" t="inlineStr">
        <is>
          <t>total_liabilities</t>
        </is>
      </c>
      <c r="J1" s="2" t="inlineStr">
        <is>
          <t>equity</t>
        </is>
      </c>
      <c r="K1" s="2" t="inlineStr">
        <is>
          <t>accounts_receivable</t>
        </is>
      </c>
      <c r="L1" s="2" t="inlineStr">
        <is>
          <t>revenue</t>
        </is>
      </c>
      <c r="M1" s="2" t="inlineStr">
        <is>
          <t>operating_income</t>
        </is>
      </c>
      <c r="N1" s="12" t="inlineStr">
        <is>
          <t>통화_표준</t>
        </is>
      </c>
      <c r="O1" s="12" t="inlineStr">
        <is>
          <t>글자칸_수</t>
        </is>
      </c>
      <c r="P1" s="12" t="inlineStr">
        <is>
          <t>fin_missing</t>
        </is>
      </c>
      <c r="Q1" s="12" t="inlineStr">
        <is>
          <t>neg_equity</t>
        </is>
      </c>
      <c r="R1" s="12" t="inlineStr">
        <is>
          <t>current_ratio</t>
        </is>
      </c>
      <c r="S1" s="12" t="inlineStr">
        <is>
          <t>debt_to_equity</t>
        </is>
      </c>
      <c r="T1" s="12" t="inlineStr">
        <is>
          <t>dso_buyer</t>
        </is>
      </c>
      <c r="U1" s="12" t="inlineStr">
        <is>
          <t>op_margin</t>
        </is>
      </c>
      <c r="V1" s="12" t="inlineStr">
        <is>
          <t>ar_balance_usd</t>
        </is>
      </c>
      <c r="W1" s="12" t="inlineStr">
        <is>
          <t>unit_flag</t>
        </is>
      </c>
      <c r="X1" s="12" t="inlineStr">
        <is>
          <t>neg_순번</t>
        </is>
      </c>
    </row>
    <row r="2">
      <c r="A2" s="16" t="inlineStr">
        <is>
          <t>B001</t>
        </is>
      </c>
      <c r="B2" s="16" t="inlineStr">
        <is>
          <t>EUR</t>
        </is>
      </c>
      <c r="C2" s="15" t="n">
        <v>18100</v>
      </c>
      <c r="D2" s="15" t="n">
        <v>18100</v>
      </c>
      <c r="E2" s="15" t="n">
        <v>0</v>
      </c>
      <c r="F2" s="15" t="n">
        <v>20000</v>
      </c>
      <c r="G2" s="15" t="n">
        <v>1618000</v>
      </c>
      <c r="H2" s="15" t="n">
        <v>992000</v>
      </c>
      <c r="I2" s="15" t="n">
        <v>1226000</v>
      </c>
      <c r="J2" s="15" t="n">
        <v>2041000</v>
      </c>
      <c r="K2" s="15" t="n">
        <v>652000</v>
      </c>
      <c r="L2" s="15" t="n">
        <v>6846000</v>
      </c>
      <c r="M2" s="15" t="n">
        <v>810000</v>
      </c>
      <c r="N2" s="7" t="str">
        <f>IFERROR(VLOOKUP(TRIM(B2),'확인표_A'!$A$6:$B$14,2,FALSE),"확인 필요")</f>
        <v>EUR</v>
      </c>
      <c r="O2" s="7">
        <f>SUMPRODUCT(--ISTEXT(C2:E2))</f>
        <v>0</v>
      </c>
      <c r="P2" s="7">
        <f>IF(OR(G2="",H2="",I2="",J2="",L2=""),1,0)</f>
        <v>0</v>
      </c>
      <c r="Q2" s="7">
        <f>IF(AND(J2&lt;&gt;"",J2&lt;=0),1,0)</f>
        <v>0</v>
      </c>
      <c r="R2" s="20">
        <f>IF(OR(G2="",H2=""),"",G2/H2)</f>
        <v>1.6310483870967742</v>
      </c>
      <c r="S2" s="20">
        <f>IF(OR(I2="",J2="",Q2=1),"",I2/J2)</f>
        <v>0.600685938265556</v>
      </c>
      <c r="T2" s="23">
        <f>IF(OR(K2="",L2=""),"",K2/L2*365)</f>
        <v>34.76190476190476</v>
      </c>
      <c r="U2" s="20">
        <f>IF(OR(M2="",L2=""),"",M2/L2)</f>
        <v>0.11831726555652936</v>
      </c>
      <c r="V2" s="8">
        <f>IF(ISTEXT(C2),"글자 섞임",ROUND(C2*VLOOKUP(N2,'환율_기준일'!$A$4:$E$7,5,FALSE)/'환율_기준일'!$E$4,2))</f>
        <v>21026.82</v>
      </c>
      <c r="W2" s="7">
        <f>IF(ISNUMBER(V2),IF(V2&gt;F2*10,1,0),"")</f>
        <v>0</v>
      </c>
      <c r="X2" s="7" t="str">
        <f>IF(Q2=1,COUNTIF($Q$2:Q2,1),"")</f>
        <v/>
      </c>
    </row>
    <row r="3">
      <c r="A3" s="16" t="inlineStr">
        <is>
          <t>B002</t>
        </is>
      </c>
      <c r="B3" s="16" t="inlineStr">
        <is>
          <t>usd</t>
        </is>
      </c>
      <c r="C3" s="15" t="n">
        <v>9170</v>
      </c>
      <c r="D3" s="15" t="n">
        <v>9170</v>
      </c>
      <c r="E3" s="15" t="n">
        <v>0</v>
      </c>
      <c r="F3" s="15" t="n">
        <v>20000</v>
      </c>
      <c r="G3" s="15" t="n">
        <v>2591000</v>
      </c>
      <c r="H3" s="15" t="n">
        <v>1462000</v>
      </c>
      <c r="I3" s="15" t="n">
        <v>2419000</v>
      </c>
      <c r="J3" s="15" t="n">
        <v>2364000</v>
      </c>
      <c r="K3" s="15" t="n">
        <v>935000</v>
      </c>
      <c r="L3" s="15" t="n">
        <v>8185000</v>
      </c>
      <c r="M3" s="15" t="n">
        <v>550000</v>
      </c>
      <c r="N3" s="7" t="str">
        <f>IFERROR(VLOOKUP(TRIM(B3),'확인표_A'!$A$6:$B$14,2,FALSE),"확인 필요")</f>
        <v>USD</v>
      </c>
      <c r="O3" s="7">
        <f>SUMPRODUCT(--ISTEXT(C3:E3))</f>
        <v>0</v>
      </c>
      <c r="P3" s="7">
        <f>IF(OR(G3="",H3="",I3="",J3="",L3=""),1,0)</f>
        <v>0</v>
      </c>
      <c r="Q3" s="7">
        <f>IF(AND(J3&lt;&gt;"",J3&lt;=0),1,0)</f>
        <v>0</v>
      </c>
      <c r="R3" s="20">
        <f>IF(OR(G3="",H3=""),"",G3/H3)</f>
        <v>1.7722298221614228</v>
      </c>
      <c r="S3" s="20">
        <f>IF(OR(I3="",J3="",Q3=1),"",I3/J3)</f>
        <v>1.0232656514382403</v>
      </c>
      <c r="T3" s="23">
        <f>IF(OR(K3="",L3=""),"",K3/L3*365)</f>
        <v>41.695174098961516</v>
      </c>
      <c r="U3" s="20">
        <f>IF(OR(M3="",L3=""),"",M3/L3)</f>
        <v>0.06719609040928527</v>
      </c>
      <c r="V3" s="8">
        <f>IF(ISTEXT(C3),"글자 섞임",ROUND(C3*VLOOKUP(N3,'환율_기준일'!$A$4:$E$7,5,FALSE)/'환율_기준일'!$E$4,2))</f>
        <v>9170</v>
      </c>
      <c r="W3" s="7">
        <f>IF(ISNUMBER(V3),IF(V3&gt;F3*10,1,0),"")</f>
        <v>0</v>
      </c>
      <c r="X3" s="7" t="str">
        <f>IF(Q3=1,COUNTIF($Q$2:Q3,1),"")</f>
        <v/>
      </c>
    </row>
    <row r="4">
      <c r="A4" s="16" t="inlineStr">
        <is>
          <t>B003</t>
        </is>
      </c>
      <c r="B4" s="16" t="inlineStr">
        <is>
          <t>USD</t>
        </is>
      </c>
      <c r="C4" s="15" t="n">
        <v>0</v>
      </c>
      <c r="D4" s="15" t="n">
        <v>0</v>
      </c>
      <c r="E4" s="15" t="n">
        <v>0</v>
      </c>
      <c r="F4" s="15" t="n">
        <v>20000</v>
      </c>
      <c r="G4" s="15" t="n">
        <v>2451000</v>
      </c>
      <c r="H4" s="15" t="n">
        <v>1695000</v>
      </c>
      <c r="I4" s="15" t="n">
        <v>3638000</v>
      </c>
      <c r="J4" s="16" t="n"/>
      <c r="K4" s="15" t="n">
        <v>1181000</v>
      </c>
      <c r="L4" s="15" t="n">
        <v>5343000</v>
      </c>
      <c r="M4" s="15" t="n">
        <v>-278000</v>
      </c>
      <c r="N4" s="7" t="str">
        <f>IFERROR(VLOOKUP(TRIM(B4),'확인표_A'!$A$6:$B$14,2,FALSE),"확인 필요")</f>
        <v>USD</v>
      </c>
      <c r="O4" s="7">
        <f>SUMPRODUCT(--ISTEXT(C4:E4))</f>
        <v>0</v>
      </c>
      <c r="P4" s="7">
        <f>IF(OR(G4="",H4="",I4="",J4="",L4=""),1,0)</f>
        <v>1</v>
      </c>
      <c r="Q4" s="7">
        <f>IF(AND(J4&lt;&gt;"",J4&lt;=0),1,0)</f>
        <v>0</v>
      </c>
      <c r="R4" s="20">
        <f>IF(OR(G4="",H4=""),"",G4/H4)</f>
        <v>1.4460176991150442</v>
      </c>
      <c r="S4" s="20" t="str">
        <f>IF(OR(I4="",J4="",Q4=1),"",I4/J4)</f>
        <v/>
      </c>
      <c r="T4" s="23">
        <f>IF(OR(K4="",L4=""),"",K4/L4*365)</f>
        <v>80.67845779524612</v>
      </c>
      <c r="U4" s="20">
        <f>IF(OR(M4="",L4=""),"",M4/L4)</f>
        <v>-0.05203069436646079</v>
      </c>
      <c r="V4" s="8">
        <f>IF(ISTEXT(C4),"글자 섞임",ROUND(C4*VLOOKUP(N4,'환율_기준일'!$A$4:$E$7,5,FALSE)/'환율_기준일'!$E$4,2))</f>
        <v>0</v>
      </c>
      <c r="W4" s="7">
        <f>IF(ISNUMBER(V4),IF(V4&gt;F4*10,1,0),"")</f>
        <v>0</v>
      </c>
      <c r="X4" s="7" t="str">
        <f>IF(Q4=1,COUNTIF($Q$2:Q4,1),"")</f>
        <v/>
      </c>
    </row>
    <row r="5">
      <c r="A5" s="16" t="inlineStr">
        <is>
          <t>B004</t>
        </is>
      </c>
      <c r="B5" s="16" t="inlineStr">
        <is>
          <t>USD</t>
        </is>
      </c>
      <c r="C5" s="15" t="n">
        <v>0</v>
      </c>
      <c r="D5" s="15" t="n">
        <v>0</v>
      </c>
      <c r="E5" s="15" t="n">
        <v>0</v>
      </c>
      <c r="F5" s="15" t="n">
        <v>10000</v>
      </c>
      <c r="G5" s="15" t="n">
        <v>18128000</v>
      </c>
      <c r="H5" s="15" t="n">
        <v>8321000</v>
      </c>
      <c r="I5" s="15" t="n">
        <v>15234000</v>
      </c>
      <c r="J5" s="15" t="n">
        <v>11515000</v>
      </c>
      <c r="K5" s="15" t="n">
        <v>6139000</v>
      </c>
      <c r="L5" s="15" t="n">
        <v>73932000</v>
      </c>
      <c r="M5" s="15" t="n">
        <v>5344000</v>
      </c>
      <c r="N5" s="7" t="str">
        <f>IFERROR(VLOOKUP(TRIM(B5),'확인표_A'!$A$6:$B$14,2,FALSE),"확인 필요")</f>
        <v>USD</v>
      </c>
      <c r="O5" s="7">
        <f>SUMPRODUCT(--ISTEXT(C5:E5))</f>
        <v>0</v>
      </c>
      <c r="P5" s="7">
        <f>IF(OR(G5="",H5="",I5="",J5="",L5=""),1,0)</f>
        <v>0</v>
      </c>
      <c r="Q5" s="7">
        <f>IF(AND(J5&lt;&gt;"",J5&lt;=0),1,0)</f>
        <v>0</v>
      </c>
      <c r="R5" s="20">
        <f>IF(OR(G5="",H5=""),"",G5/H5)</f>
        <v>2.178584304771061</v>
      </c>
      <c r="S5" s="20">
        <f>IF(OR(I5="",J5="",Q5=1),"",I5/J5)</f>
        <v>1.3229700390794616</v>
      </c>
      <c r="T5" s="23">
        <f>IF(OR(K5="",L5=""),"",K5/L5*365)</f>
        <v>30.308053346318236</v>
      </c>
      <c r="U5" s="20">
        <f>IF(OR(M5="",L5=""),"",M5/L5)</f>
        <v>0.07228263809987556</v>
      </c>
      <c r="V5" s="8">
        <f>IF(ISTEXT(C5),"글자 섞임",ROUND(C5*VLOOKUP(N5,'환율_기준일'!$A$4:$E$7,5,FALSE)/'환율_기준일'!$E$4,2))</f>
        <v>0</v>
      </c>
      <c r="W5" s="7">
        <f>IF(ISNUMBER(V5),IF(V5&gt;F5*10,1,0),"")</f>
        <v>0</v>
      </c>
      <c r="X5" s="7" t="str">
        <f>IF(Q5=1,COUNTIF($Q$2:Q5,1),"")</f>
        <v/>
      </c>
    </row>
    <row r="6">
      <c r="A6" s="16" t="inlineStr">
        <is>
          <t>B005</t>
        </is>
      </c>
      <c r="B6" s="16" t="inlineStr">
        <is>
          <t>USD</t>
        </is>
      </c>
      <c r="C6" s="16" t="inlineStr">
        <is>
          <t xml:space="preserve"> 195900 </t>
        </is>
      </c>
      <c r="D6" s="15" t="n">
        <v>173020</v>
      </c>
      <c r="E6" s="15" t="n">
        <v>22880</v>
      </c>
      <c r="F6" s="15" t="n">
        <v>200000</v>
      </c>
      <c r="G6" s="15" t="n">
        <v>51211000</v>
      </c>
      <c r="H6" s="16" t="n"/>
      <c r="I6" s="15" t="n">
        <v>39364000</v>
      </c>
      <c r="J6" s="15" t="n">
        <v>40519000</v>
      </c>
      <c r="K6" s="15" t="n">
        <v>17583000</v>
      </c>
      <c r="L6" s="15" t="n">
        <v>204875000</v>
      </c>
      <c r="M6" s="15" t="n">
        <v>27396000</v>
      </c>
      <c r="N6" s="7" t="str">
        <f>IFERROR(VLOOKUP(TRIM(B6),'확인표_A'!$A$6:$B$14,2,FALSE),"확인 필요")</f>
        <v>USD</v>
      </c>
      <c r="O6" s="7">
        <f>SUMPRODUCT(--ISTEXT(C6:E6))</f>
        <v>1</v>
      </c>
      <c r="P6" s="7">
        <f>IF(OR(G6="",H6="",I6="",J6="",L6=""),1,0)</f>
        <v>1</v>
      </c>
      <c r="Q6" s="7">
        <f>IF(AND(J6&lt;&gt;"",J6&lt;=0),1,0)</f>
        <v>0</v>
      </c>
      <c r="R6" s="20" t="str">
        <f>IF(OR(G6="",H6=""),"",G6/H6)</f>
        <v/>
      </c>
      <c r="S6" s="20">
        <f>IF(OR(I6="",J6="",Q6=1),"",I6/J6)</f>
        <v>0.9714948542659</v>
      </c>
      <c r="T6" s="23">
        <f>IF(OR(K6="",L6=""),"",K6/L6*365)</f>
        <v>31.325417937766932</v>
      </c>
      <c r="U6" s="20">
        <f>IF(OR(M6="",L6=""),"",M6/L6)</f>
        <v>0.13372056131787674</v>
      </c>
      <c r="V6" s="8" t="str">
        <f>IF(ISTEXT(C6),"글자 섞임",ROUND(C6*VLOOKUP(N6,'환율_기준일'!$A$4:$E$7,5,FALSE)/'환율_기준일'!$E$4,2))</f>
        <v>글자 섞임</v>
      </c>
      <c r="W6" s="7" t="str">
        <f>IF(ISNUMBER(V6),IF(V6&gt;F6*10,1,0),"")</f>
        <v/>
      </c>
      <c r="X6" s="7" t="str">
        <f>IF(Q6=1,COUNTIF($Q$2:Q6,1),"")</f>
        <v/>
      </c>
    </row>
    <row r="7">
      <c r="A7" s="16" t="inlineStr">
        <is>
          <t>B006</t>
        </is>
      </c>
      <c r="B7" s="16" t="inlineStr">
        <is>
          <t>USD</t>
        </is>
      </c>
      <c r="C7" s="15" t="n">
        <v>0</v>
      </c>
      <c r="D7" s="15" t="n">
        <v>0</v>
      </c>
      <c r="E7" s="15" t="n">
        <v>0</v>
      </c>
      <c r="F7" s="15" t="n">
        <v>10000</v>
      </c>
      <c r="G7" s="16" t="n"/>
      <c r="H7" s="16" t="n"/>
      <c r="I7" s="16" t="n"/>
      <c r="J7" s="16" t="n"/>
      <c r="K7" s="16" t="n"/>
      <c r="L7" s="16" t="n"/>
      <c r="M7" s="16" t="n"/>
      <c r="N7" s="7" t="str">
        <f>IFERROR(VLOOKUP(TRIM(B7),'확인표_A'!$A$6:$B$14,2,FALSE),"확인 필요")</f>
        <v>USD</v>
      </c>
      <c r="O7" s="7">
        <f>SUMPRODUCT(--ISTEXT(C7:E7))</f>
        <v>0</v>
      </c>
      <c r="P7" s="7">
        <f>IF(OR(G7="",H7="",I7="",J7="",L7=""),1,0)</f>
        <v>1</v>
      </c>
      <c r="Q7" s="7">
        <f>IF(AND(J7&lt;&gt;"",J7&lt;=0),1,0)</f>
        <v>0</v>
      </c>
      <c r="R7" s="20" t="str">
        <f>IF(OR(G7="",H7=""),"",G7/H7)</f>
        <v/>
      </c>
      <c r="S7" s="20" t="str">
        <f>IF(OR(I7="",J7="",Q7=1),"",I7/J7)</f>
        <v/>
      </c>
      <c r="T7" s="23" t="str">
        <f>IF(OR(K7="",L7=""),"",K7/L7*365)</f>
        <v/>
      </c>
      <c r="U7" s="20" t="str">
        <f>IF(OR(M7="",L7=""),"",M7/L7)</f>
        <v/>
      </c>
      <c r="V7" s="8">
        <f>IF(ISTEXT(C7),"글자 섞임",ROUND(C7*VLOOKUP(N7,'환율_기준일'!$A$4:$E$7,5,FALSE)/'환율_기준일'!$E$4,2))</f>
        <v>0</v>
      </c>
      <c r="W7" s="7">
        <f>IF(ISNUMBER(V7),IF(V7&gt;F7*10,1,0),"")</f>
        <v>0</v>
      </c>
      <c r="X7" s="7" t="str">
        <f>IF(Q7=1,COUNTIF($Q$2:Q7,1),"")</f>
        <v/>
      </c>
    </row>
    <row r="8">
      <c r="A8" s="16" t="inlineStr">
        <is>
          <t>B007</t>
        </is>
      </c>
      <c r="B8" s="16" t="inlineStr">
        <is>
          <t>EUR</t>
        </is>
      </c>
      <c r="C8" s="15" t="n">
        <v>2650</v>
      </c>
      <c r="D8" s="15" t="n">
        <v>2650</v>
      </c>
      <c r="E8" s="15" t="n">
        <v>0</v>
      </c>
      <c r="F8" s="15" t="n">
        <v>20000</v>
      </c>
      <c r="G8" s="15" t="n">
        <v>12383000</v>
      </c>
      <c r="H8" s="15" t="n">
        <v>5217000</v>
      </c>
      <c r="I8" s="15" t="n">
        <v>7416000</v>
      </c>
      <c r="J8" s="15" t="n">
        <v>15094000</v>
      </c>
      <c r="K8" s="15" t="n">
        <v>4161000</v>
      </c>
      <c r="L8" s="15" t="n">
        <v>27528000</v>
      </c>
      <c r="M8" s="15" t="n">
        <v>1737000</v>
      </c>
      <c r="N8" s="7" t="str">
        <f>IFERROR(VLOOKUP(TRIM(B8),'확인표_A'!$A$6:$B$14,2,FALSE),"확인 필요")</f>
        <v>EUR</v>
      </c>
      <c r="O8" s="7">
        <f>SUMPRODUCT(--ISTEXT(C8:E8))</f>
        <v>0</v>
      </c>
      <c r="P8" s="7">
        <f>IF(OR(G8="",H8="",I8="",J8="",L8=""),1,0)</f>
        <v>0</v>
      </c>
      <c r="Q8" s="7">
        <f>IF(AND(J8&lt;&gt;"",J8&lt;=0),1,0)</f>
        <v>0</v>
      </c>
      <c r="R8" s="20">
        <f>IF(OR(G8="",H8=""),"",G8/H8)</f>
        <v>2.3735863523097565</v>
      </c>
      <c r="S8" s="20">
        <f>IF(OR(I8="",J8="",Q8=1),"",I8/J8)</f>
        <v>0.4913210547237313</v>
      </c>
      <c r="T8" s="23">
        <f>IF(OR(K8="",L8=""),"",K8/L8*365)</f>
        <v>55.17164341761116</v>
      </c>
      <c r="U8" s="20">
        <f>IF(OR(M8="",L8=""),"",M8/L8)</f>
        <v>0.06309938971229294</v>
      </c>
      <c r="V8" s="8">
        <f>IF(ISTEXT(C8),"글자 섞임",ROUND(C8*VLOOKUP(N8,'환율_기준일'!$A$4:$E$7,5,FALSE)/'환율_기준일'!$E$4,2))</f>
        <v>3078.51</v>
      </c>
      <c r="W8" s="7">
        <f>IF(ISNUMBER(V8),IF(V8&gt;F8*10,1,0),"")</f>
        <v>0</v>
      </c>
      <c r="X8" s="7" t="str">
        <f>IF(Q8=1,COUNTIF($Q$2:Q8,1),"")</f>
        <v/>
      </c>
    </row>
    <row r="9">
      <c r="A9" s="16" t="inlineStr">
        <is>
          <t>B008</t>
        </is>
      </c>
      <c r="B9" s="16" t="inlineStr">
        <is>
          <t>EUR</t>
        </is>
      </c>
      <c r="C9" s="15" t="n">
        <v>8080</v>
      </c>
      <c r="D9" s="15" t="n">
        <v>1230</v>
      </c>
      <c r="E9" s="16" t="inlineStr">
        <is>
          <t>6,850</t>
        </is>
      </c>
      <c r="F9" s="15" t="n">
        <v>10000</v>
      </c>
      <c r="G9" s="15" t="n">
        <v>4257000</v>
      </c>
      <c r="H9" s="15" t="n">
        <v>3189000</v>
      </c>
      <c r="I9" s="15" t="n">
        <v>5300000</v>
      </c>
      <c r="J9" s="15" t="n">
        <v>3217000</v>
      </c>
      <c r="K9" s="15" t="n">
        <v>2183000</v>
      </c>
      <c r="L9" s="15" t="n">
        <v>14083000</v>
      </c>
      <c r="M9" s="15" t="n">
        <v>1177000</v>
      </c>
      <c r="N9" s="7" t="str">
        <f>IFERROR(VLOOKUP(TRIM(B9),'확인표_A'!$A$6:$B$14,2,FALSE),"확인 필요")</f>
        <v>EUR</v>
      </c>
      <c r="O9" s="7">
        <f>SUMPRODUCT(--ISTEXT(C9:E9))</f>
        <v>1</v>
      </c>
      <c r="P9" s="7">
        <f>IF(OR(G9="",H9="",I9="",J9="",L9=""),1,0)</f>
        <v>0</v>
      </c>
      <c r="Q9" s="7">
        <f>IF(AND(J9&lt;&gt;"",J9&lt;=0),1,0)</f>
        <v>0</v>
      </c>
      <c r="R9" s="20">
        <f>IF(OR(G9="",H9=""),"",G9/H9)</f>
        <v>1.3349012229539041</v>
      </c>
      <c r="S9" s="20">
        <f>IF(OR(I9="",J9="",Q9=1),"",I9/J9)</f>
        <v>1.6474976686353746</v>
      </c>
      <c r="T9" s="23">
        <f>IF(OR(K9="",L9=""),"",K9/L9*365)</f>
        <v>56.57849889938223</v>
      </c>
      <c r="U9" s="20">
        <f>IF(OR(M9="",L9=""),"",M9/L9)</f>
        <v>0.08357594262586096</v>
      </c>
      <c r="V9" s="8">
        <f>IF(ISTEXT(C9),"글자 섞임",ROUND(C9*VLOOKUP(N9,'환율_기준일'!$A$4:$E$7,5,FALSE)/'환율_기준일'!$E$4,2))</f>
        <v>9386.56</v>
      </c>
      <c r="W9" s="7">
        <f>IF(ISNUMBER(V9),IF(V9&gt;F9*10,1,0),"")</f>
        <v>0</v>
      </c>
      <c r="X9" s="7" t="str">
        <f>IF(Q9=1,COUNTIF($Q$2:Q9,1),"")</f>
        <v/>
      </c>
    </row>
    <row r="10">
      <c r="A10" s="16" t="inlineStr">
        <is>
          <t>B009</t>
        </is>
      </c>
      <c r="B10" s="16" t="inlineStr">
        <is>
          <t>CNY</t>
        </is>
      </c>
      <c r="C10" s="16" t="inlineStr">
        <is>
          <t>CNY 317,000</t>
        </is>
      </c>
      <c r="D10" s="15" t="n">
        <v>317000</v>
      </c>
      <c r="E10" s="15" t="n">
        <v>0</v>
      </c>
      <c r="F10" s="15" t="n">
        <v>60000</v>
      </c>
      <c r="G10" s="15" t="n">
        <v>10718000</v>
      </c>
      <c r="H10" s="15" t="n">
        <v>10331000</v>
      </c>
      <c r="I10" s="15" t="n">
        <v>17835000</v>
      </c>
      <c r="J10" s="15" t="n">
        <v>3095000</v>
      </c>
      <c r="K10" s="15" t="n">
        <v>5644000</v>
      </c>
      <c r="L10" s="15" t="n">
        <v>25116000</v>
      </c>
      <c r="M10" s="15" t="n">
        <v>593000</v>
      </c>
      <c r="N10" s="7" t="str">
        <f>IFERROR(VLOOKUP(TRIM(B10),'확인표_A'!$A$6:$B$14,2,FALSE),"확인 필요")</f>
        <v>CNY</v>
      </c>
      <c r="O10" s="7">
        <f>SUMPRODUCT(--ISTEXT(C10:E10))</f>
        <v>1</v>
      </c>
      <c r="P10" s="7">
        <f>IF(OR(G10="",H10="",I10="",J10="",L10=""),1,0)</f>
        <v>0</v>
      </c>
      <c r="Q10" s="7">
        <f>IF(AND(J10&lt;&gt;"",J10&lt;=0),1,0)</f>
        <v>0</v>
      </c>
      <c r="R10" s="20">
        <f>IF(OR(G10="",H10=""),"",G10/H10)</f>
        <v>1.0374600716290776</v>
      </c>
      <c r="S10" s="20">
        <f>IF(OR(I10="",J10="",Q10=1),"",I10/J10)</f>
        <v>5.762520193861066</v>
      </c>
      <c r="T10" s="23">
        <f>IF(OR(K10="",L10=""),"",K10/L10*365)</f>
        <v>82.02181876094919</v>
      </c>
      <c r="U10" s="20">
        <f>IF(OR(M10="",L10=""),"",M10/L10)</f>
        <v>0.023610447523491</v>
      </c>
      <c r="V10" s="8" t="str">
        <f>IF(ISTEXT(C10),"글자 섞임",ROUND(C10*VLOOKUP(N10,'환율_기준일'!$A$4:$E$7,5,FALSE)/'환율_기준일'!$E$4,2))</f>
        <v>글자 섞임</v>
      </c>
      <c r="W10" s="7" t="str">
        <f>IF(ISNUMBER(V10),IF(V10&gt;F10*10,1,0),"")</f>
        <v/>
      </c>
      <c r="X10" s="7" t="str">
        <f>IF(Q10=1,COUNTIF($Q$2:Q10,1),"")</f>
        <v/>
      </c>
    </row>
    <row r="11">
      <c r="A11" s="16" t="inlineStr">
        <is>
          <t>B010</t>
        </is>
      </c>
      <c r="B11" s="16" t="inlineStr">
        <is>
          <t>EUR</t>
        </is>
      </c>
      <c r="C11" s="15" t="n">
        <v>0</v>
      </c>
      <c r="D11" s="15" t="n">
        <v>0</v>
      </c>
      <c r="E11" s="15" t="n">
        <v>0</v>
      </c>
      <c r="F11" s="15" t="n">
        <v>10000</v>
      </c>
      <c r="G11" s="15" t="n">
        <v>2497000</v>
      </c>
      <c r="H11" s="15" t="n">
        <v>2165000</v>
      </c>
      <c r="I11" s="15" t="n">
        <v>3623000</v>
      </c>
      <c r="J11" s="15" t="n">
        <v>1311000</v>
      </c>
      <c r="K11" s="15" t="n">
        <v>1151000</v>
      </c>
      <c r="L11" s="15" t="n">
        <v>5926000</v>
      </c>
      <c r="M11" s="15" t="n">
        <v>21000</v>
      </c>
      <c r="N11" s="7" t="str">
        <f>IFERROR(VLOOKUP(TRIM(B11),'확인표_A'!$A$6:$B$14,2,FALSE),"확인 필요")</f>
        <v>EUR</v>
      </c>
      <c r="O11" s="7">
        <f>SUMPRODUCT(--ISTEXT(C11:E11))</f>
        <v>0</v>
      </c>
      <c r="P11" s="7">
        <f>IF(OR(G11="",H11="",I11="",J11="",L11=""),1,0)</f>
        <v>0</v>
      </c>
      <c r="Q11" s="7">
        <f>IF(AND(J11&lt;&gt;"",J11&lt;=0),1,0)</f>
        <v>0</v>
      </c>
      <c r="R11" s="20">
        <f>IF(OR(G11="",H11=""),"",G11/H11)</f>
        <v>1.1533487297921479</v>
      </c>
      <c r="S11" s="20">
        <f>IF(OR(I11="",J11="",Q11=1),"",I11/J11)</f>
        <v>2.763539282990084</v>
      </c>
      <c r="T11" s="23">
        <f>IF(OR(K11="",L11=""),"",K11/L11*365)</f>
        <v>70.89352008099898</v>
      </c>
      <c r="U11" s="20">
        <f>IF(OR(M11="",L11=""),"",M11/L11)</f>
        <v>0.003543705703678704</v>
      </c>
      <c r="V11" s="8">
        <f>IF(ISTEXT(C11),"글자 섞임",ROUND(C11*VLOOKUP(N11,'환율_기준일'!$A$4:$E$7,5,FALSE)/'환율_기준일'!$E$4,2))</f>
        <v>0</v>
      </c>
      <c r="W11" s="7">
        <f>IF(ISNUMBER(V11),IF(V11&gt;F11*10,1,0),"")</f>
        <v>0</v>
      </c>
      <c r="X11" s="7" t="str">
        <f>IF(Q11=1,COUNTIF($Q$2:Q11,1),"")</f>
        <v/>
      </c>
    </row>
    <row r="12">
      <c r="A12" s="16" t="inlineStr">
        <is>
          <t>B011</t>
        </is>
      </c>
      <c r="B12" s="16" t="inlineStr">
        <is>
          <t>USD</t>
        </is>
      </c>
      <c r="C12" s="15" t="n">
        <v>0</v>
      </c>
      <c r="D12" s="15" t="n">
        <v>0</v>
      </c>
      <c r="E12" s="15" t="n">
        <v>0</v>
      </c>
      <c r="F12" s="15" t="n">
        <v>10000</v>
      </c>
      <c r="G12" s="15" t="n">
        <v>5142000</v>
      </c>
      <c r="H12" s="15" t="n">
        <v>4346000</v>
      </c>
      <c r="I12" s="15" t="n">
        <v>5716000</v>
      </c>
      <c r="J12" s="15" t="n">
        <v>1183000</v>
      </c>
      <c r="K12" s="16" t="n"/>
      <c r="L12" s="15" t="n">
        <v>7731000</v>
      </c>
      <c r="M12" s="16" t="n"/>
      <c r="N12" s="7" t="str">
        <f>IFERROR(VLOOKUP(TRIM(B12),'확인표_A'!$A$6:$B$14,2,FALSE),"확인 필요")</f>
        <v>USD</v>
      </c>
      <c r="O12" s="7">
        <f>SUMPRODUCT(--ISTEXT(C12:E12))</f>
        <v>0</v>
      </c>
      <c r="P12" s="7">
        <f>IF(OR(G12="",H12="",I12="",J12="",L12=""),1,0)</f>
        <v>0</v>
      </c>
      <c r="Q12" s="7">
        <f>IF(AND(J12&lt;&gt;"",J12&lt;=0),1,0)</f>
        <v>0</v>
      </c>
      <c r="R12" s="20">
        <f>IF(OR(G12="",H12=""),"",G12/H12)</f>
        <v>1.1831569259088817</v>
      </c>
      <c r="S12" s="20">
        <f>IF(OR(I12="",J12="",Q12=1),"",I12/J12)</f>
        <v>4.83178360101437</v>
      </c>
      <c r="T12" s="23" t="str">
        <f>IF(OR(K12="",L12=""),"",K12/L12*365)</f>
        <v/>
      </c>
      <c r="U12" s="20" t="str">
        <f>IF(OR(M12="",L12=""),"",M12/L12)</f>
        <v/>
      </c>
      <c r="V12" s="8">
        <f>IF(ISTEXT(C12),"글자 섞임",ROUND(C12*VLOOKUP(N12,'환율_기준일'!$A$4:$E$7,5,FALSE)/'환율_기준일'!$E$4,2))</f>
        <v>0</v>
      </c>
      <c r="W12" s="7">
        <f>IF(ISNUMBER(V12),IF(V12&gt;F12*10,1,0),"")</f>
        <v>0</v>
      </c>
      <c r="X12" s="7" t="str">
        <f>IF(Q12=1,COUNTIF($Q$2:Q12,1),"")</f>
        <v/>
      </c>
    </row>
    <row r="13">
      <c r="A13" s="16" t="inlineStr">
        <is>
          <t>B012</t>
        </is>
      </c>
      <c r="B13" s="16" t="inlineStr">
        <is>
          <t>USD</t>
        </is>
      </c>
      <c r="C13" s="15" t="n">
        <v>0</v>
      </c>
      <c r="D13" s="15" t="n">
        <v>0</v>
      </c>
      <c r="E13" s="15" t="n">
        <v>0</v>
      </c>
      <c r="F13" s="15" t="n">
        <v>10000</v>
      </c>
      <c r="G13" s="15" t="n">
        <v>11541000</v>
      </c>
      <c r="H13" s="15" t="n">
        <v>12002000</v>
      </c>
      <c r="I13" s="15" t="n">
        <v>19711000</v>
      </c>
      <c r="J13" s="15" t="n">
        <v>7448000</v>
      </c>
      <c r="K13" s="16" t="n"/>
      <c r="L13" s="15" t="n">
        <v>10451000</v>
      </c>
      <c r="M13" s="15" t="n">
        <v>-1021000</v>
      </c>
      <c r="N13" s="7" t="str">
        <f>IFERROR(VLOOKUP(TRIM(B13),'확인표_A'!$A$6:$B$14,2,FALSE),"확인 필요")</f>
        <v>USD</v>
      </c>
      <c r="O13" s="7">
        <f>SUMPRODUCT(--ISTEXT(C13:E13))</f>
        <v>0</v>
      </c>
      <c r="P13" s="7">
        <f>IF(OR(G13="",H13="",I13="",J13="",L13=""),1,0)</f>
        <v>0</v>
      </c>
      <c r="Q13" s="7">
        <f>IF(AND(J13&lt;&gt;"",J13&lt;=0),1,0)</f>
        <v>0</v>
      </c>
      <c r="R13" s="20">
        <f>IF(OR(G13="",H13=""),"",G13/H13)</f>
        <v>0.9615897350441593</v>
      </c>
      <c r="S13" s="20">
        <f>IF(OR(I13="",J13="",Q13=1),"",I13/J13)</f>
        <v>2.646482277121375</v>
      </c>
      <c r="T13" s="23" t="str">
        <f>IF(OR(K13="",L13=""),"",K13/L13*365)</f>
        <v/>
      </c>
      <c r="U13" s="20">
        <f>IF(OR(M13="",L13=""),"",M13/L13)</f>
        <v>-0.09769400057410774</v>
      </c>
      <c r="V13" s="8">
        <f>IF(ISTEXT(C13),"글자 섞임",ROUND(C13*VLOOKUP(N13,'환율_기준일'!$A$4:$E$7,5,FALSE)/'환율_기준일'!$E$4,2))</f>
        <v>0</v>
      </c>
      <c r="W13" s="7">
        <f>IF(ISNUMBER(V13),IF(V13&gt;F13*10,1,0),"")</f>
        <v>0</v>
      </c>
      <c r="X13" s="7" t="str">
        <f>IF(Q13=1,COUNTIF($Q$2:Q13,1),"")</f>
        <v/>
      </c>
    </row>
    <row r="14">
      <c r="A14" s="16" t="inlineStr">
        <is>
          <t>B013</t>
        </is>
      </c>
      <c r="B14" s="16" t="inlineStr">
        <is>
          <t>USD</t>
        </is>
      </c>
      <c r="C14" s="15" t="n">
        <v>0</v>
      </c>
      <c r="D14" s="15" t="n">
        <v>0</v>
      </c>
      <c r="E14" s="15" t="n">
        <v>0</v>
      </c>
      <c r="F14" s="15" t="n">
        <v>20000</v>
      </c>
      <c r="G14" s="15" t="n">
        <v>22496000</v>
      </c>
      <c r="H14" s="15" t="n">
        <v>62489000</v>
      </c>
      <c r="I14" s="15" t="n">
        <v>109262000</v>
      </c>
      <c r="J14" s="15" t="n">
        <v>-15126000</v>
      </c>
      <c r="K14" s="15" t="n">
        <v>10957000</v>
      </c>
      <c r="L14" s="15" t="n">
        <v>46504000</v>
      </c>
      <c r="M14" s="15" t="n">
        <v>-11565000</v>
      </c>
      <c r="N14" s="7" t="str">
        <f>IFERROR(VLOOKUP(TRIM(B14),'확인표_A'!$A$6:$B$14,2,FALSE),"확인 필요")</f>
        <v>USD</v>
      </c>
      <c r="O14" s="7">
        <f>SUMPRODUCT(--ISTEXT(C14:E14))</f>
        <v>0</v>
      </c>
      <c r="P14" s="7">
        <f>IF(OR(G14="",H14="",I14="",J14="",L14=""),1,0)</f>
        <v>0</v>
      </c>
      <c r="Q14" s="7">
        <f>IF(AND(J14&lt;&gt;"",J14&lt;=0),1,0)</f>
        <v>1</v>
      </c>
      <c r="R14" s="20">
        <f>IF(OR(G14="",H14=""),"",G14/H14)</f>
        <v>0.35999935988734016</v>
      </c>
      <c r="S14" s="20" t="str">
        <f>IF(OR(I14="",J14="",Q14=1),"",I14/J14)</f>
        <v/>
      </c>
      <c r="T14" s="23">
        <f>IF(OR(K14="",L14=""),"",K14/L14*365)</f>
        <v>85.99916136246344</v>
      </c>
      <c r="U14" s="20">
        <f>IF(OR(M14="",L14=""),"",M14/L14)</f>
        <v>-0.2486882848787201</v>
      </c>
      <c r="V14" s="8">
        <f>IF(ISTEXT(C14),"글자 섞임",ROUND(C14*VLOOKUP(N14,'환율_기준일'!$A$4:$E$7,5,FALSE)/'환율_기준일'!$E$4,2))</f>
        <v>0</v>
      </c>
      <c r="W14" s="7">
        <f>IF(ISNUMBER(V14),IF(V14&gt;F14*10,1,0),"")</f>
        <v>0</v>
      </c>
      <c r="X14" s="7">
        <f>IF(Q14=1,COUNTIF($Q$2:Q14,1),"")</f>
        <v>1</v>
      </c>
    </row>
    <row r="15">
      <c r="A15" s="16" t="inlineStr">
        <is>
          <t>B014</t>
        </is>
      </c>
      <c r="B15" s="16" t="inlineStr">
        <is>
          <t>USD</t>
        </is>
      </c>
      <c r="C15" s="15" t="n">
        <v>29910</v>
      </c>
      <c r="D15" s="15" t="n">
        <v>29910</v>
      </c>
      <c r="E15" s="15" t="n">
        <v>0</v>
      </c>
      <c r="F15" s="15" t="n">
        <v>50000</v>
      </c>
      <c r="G15" s="15" t="n">
        <v>47876000</v>
      </c>
      <c r="H15" s="15" t="n">
        <v>28567000</v>
      </c>
      <c r="I15" s="15" t="n">
        <v>39898000</v>
      </c>
      <c r="J15" s="15" t="n">
        <v>71277000</v>
      </c>
      <c r="K15" s="15" t="n">
        <v>20957000</v>
      </c>
      <c r="L15" s="15" t="n">
        <v>148025000</v>
      </c>
      <c r="M15" s="15" t="n">
        <v>11168000</v>
      </c>
      <c r="N15" s="7" t="str">
        <f>IFERROR(VLOOKUP(TRIM(B15),'확인표_A'!$A$6:$B$14,2,FALSE),"확인 필요")</f>
        <v>USD</v>
      </c>
      <c r="O15" s="7">
        <f>SUMPRODUCT(--ISTEXT(C15:E15))</f>
        <v>0</v>
      </c>
      <c r="P15" s="7">
        <f>IF(OR(G15="",H15="",I15="",J15="",L15=""),1,0)</f>
        <v>0</v>
      </c>
      <c r="Q15" s="7">
        <f>IF(AND(J15&lt;&gt;"",J15&lt;=0),1,0)</f>
        <v>0</v>
      </c>
      <c r="R15" s="20">
        <f>IF(OR(G15="",H15=""),"",G15/H15)</f>
        <v>1.6759197675639723</v>
      </c>
      <c r="S15" s="20">
        <f>IF(OR(I15="",J15="",Q15=1),"",I15/J15)</f>
        <v>0.5597598103174937</v>
      </c>
      <c r="T15" s="23">
        <f>IF(OR(K15="",L15=""),"",K15/L15*365)</f>
        <v>51.67576422901537</v>
      </c>
      <c r="U15" s="20">
        <f>IF(OR(M15="",L15=""),"",M15/L15)</f>
        <v>0.07544671508191184</v>
      </c>
      <c r="V15" s="8">
        <f>IF(ISTEXT(C15),"글자 섞임",ROUND(C15*VLOOKUP(N15,'환율_기준일'!$A$4:$E$7,5,FALSE)/'환율_기준일'!$E$4,2))</f>
        <v>29910</v>
      </c>
      <c r="W15" s="7">
        <f>IF(ISNUMBER(V15),IF(V15&gt;F15*10,1,0),"")</f>
        <v>0</v>
      </c>
      <c r="X15" s="7" t="str">
        <f>IF(Q15=1,COUNTIF($Q$2:Q15,1),"")</f>
        <v/>
      </c>
    </row>
    <row r="16">
      <c r="A16" s="16" t="inlineStr">
        <is>
          <t>B015</t>
        </is>
      </c>
      <c r="B16" s="16" t="inlineStr">
        <is>
          <t>USD</t>
        </is>
      </c>
      <c r="C16" s="16" t="inlineStr">
        <is>
          <t>7,680</t>
        </is>
      </c>
      <c r="D16" s="15" t="n">
        <v>7680</v>
      </c>
      <c r="E16" s="15" t="n">
        <v>0</v>
      </c>
      <c r="F16" s="15" t="n">
        <v>20000</v>
      </c>
      <c r="G16" s="15" t="n">
        <v>5353000</v>
      </c>
      <c r="H16" s="15" t="n">
        <v>3765000</v>
      </c>
      <c r="I16" s="15" t="n">
        <v>8130000</v>
      </c>
      <c r="J16" s="15" t="n">
        <v>8104000</v>
      </c>
      <c r="K16" s="15" t="n">
        <v>2203000</v>
      </c>
      <c r="L16" s="15" t="n">
        <v>16500000</v>
      </c>
      <c r="M16" s="15" t="n">
        <v>564000</v>
      </c>
      <c r="N16" s="7" t="str">
        <f>IFERROR(VLOOKUP(TRIM(B16),'확인표_A'!$A$6:$B$14,2,FALSE),"확인 필요")</f>
        <v>USD</v>
      </c>
      <c r="O16" s="7">
        <f>SUMPRODUCT(--ISTEXT(C16:E16))</f>
        <v>1</v>
      </c>
      <c r="P16" s="7">
        <f>IF(OR(G16="",H16="",I16="",J16="",L16=""),1,0)</f>
        <v>0</v>
      </c>
      <c r="Q16" s="7">
        <f>IF(AND(J16&lt;&gt;"",J16&lt;=0),1,0)</f>
        <v>0</v>
      </c>
      <c r="R16" s="20">
        <f>IF(OR(G16="",H16=""),"",G16/H16)</f>
        <v>1.4217795484727755</v>
      </c>
      <c r="S16" s="20">
        <f>IF(OR(I16="",J16="",Q16=1),"",I16/J16)</f>
        <v>1.003208292201382</v>
      </c>
      <c r="T16" s="23">
        <f>IF(OR(K16="",L16=""),"",K16/L16*365)</f>
        <v>48.7330303030303</v>
      </c>
      <c r="U16" s="20">
        <f>IF(OR(M16="",L16=""),"",M16/L16)</f>
        <v>0.03418181818181818</v>
      </c>
      <c r="V16" s="8" t="str">
        <f>IF(ISTEXT(C16),"글자 섞임",ROUND(C16*VLOOKUP(N16,'환율_기준일'!$A$4:$E$7,5,FALSE)/'환율_기준일'!$E$4,2))</f>
        <v>글자 섞임</v>
      </c>
      <c r="W16" s="7" t="str">
        <f>IF(ISNUMBER(V16),IF(V16&gt;F16*10,1,0),"")</f>
        <v/>
      </c>
      <c r="X16" s="7" t="str">
        <f>IF(Q16=1,COUNTIF($Q$2:Q16,1),"")</f>
        <v/>
      </c>
    </row>
    <row r="17">
      <c r="A17" s="16" t="inlineStr">
        <is>
          <t>B016</t>
        </is>
      </c>
      <c r="B17" s="16" t="inlineStr">
        <is>
          <t>USD</t>
        </is>
      </c>
      <c r="C17" s="15" t="n">
        <v>0</v>
      </c>
      <c r="D17" s="15" t="n">
        <v>0</v>
      </c>
      <c r="E17" s="15" t="n">
        <v>0</v>
      </c>
      <c r="F17" s="15" t="n">
        <v>10000</v>
      </c>
      <c r="G17" s="16" t="n"/>
      <c r="H17" s="16" t="n"/>
      <c r="I17" s="16" t="n"/>
      <c r="J17" s="16" t="n"/>
      <c r="K17" s="16" t="n"/>
      <c r="L17" s="16" t="n"/>
      <c r="M17" s="16" t="n"/>
      <c r="N17" s="7" t="str">
        <f>IFERROR(VLOOKUP(TRIM(B17),'확인표_A'!$A$6:$B$14,2,FALSE),"확인 필요")</f>
        <v>USD</v>
      </c>
      <c r="O17" s="7">
        <f>SUMPRODUCT(--ISTEXT(C17:E17))</f>
        <v>0</v>
      </c>
      <c r="P17" s="7">
        <f>IF(OR(G17="",H17="",I17="",J17="",L17=""),1,0)</f>
        <v>1</v>
      </c>
      <c r="Q17" s="7">
        <f>IF(AND(J17&lt;&gt;"",J17&lt;=0),1,0)</f>
        <v>0</v>
      </c>
      <c r="R17" s="20" t="str">
        <f>IF(OR(G17="",H17=""),"",G17/H17)</f>
        <v/>
      </c>
      <c r="S17" s="20" t="str">
        <f>IF(OR(I17="",J17="",Q17=1),"",I17/J17)</f>
        <v/>
      </c>
      <c r="T17" s="23" t="str">
        <f>IF(OR(K17="",L17=""),"",K17/L17*365)</f>
        <v/>
      </c>
      <c r="U17" s="20" t="str">
        <f>IF(OR(M17="",L17=""),"",M17/L17)</f>
        <v/>
      </c>
      <c r="V17" s="8">
        <f>IF(ISTEXT(C17),"글자 섞임",ROUND(C17*VLOOKUP(N17,'환율_기준일'!$A$4:$E$7,5,FALSE)/'환율_기준일'!$E$4,2))</f>
        <v>0</v>
      </c>
      <c r="W17" s="7">
        <f>IF(ISNUMBER(V17),IF(V17&gt;F17*10,1,0),"")</f>
        <v>0</v>
      </c>
      <c r="X17" s="7" t="str">
        <f>IF(Q17=1,COUNTIF($Q$2:Q17,1),"")</f>
        <v/>
      </c>
    </row>
    <row r="18">
      <c r="A18" s="16" t="inlineStr">
        <is>
          <t>B017</t>
        </is>
      </c>
      <c r="B18" s="16" t="inlineStr">
        <is>
          <t>USD</t>
        </is>
      </c>
      <c r="C18" s="15" t="n">
        <v>0</v>
      </c>
      <c r="D18" s="15" t="n">
        <v>0</v>
      </c>
      <c r="E18" s="15" t="n">
        <v>0</v>
      </c>
      <c r="F18" s="15" t="n">
        <v>10000</v>
      </c>
      <c r="G18" s="15" t="n">
        <v>2309000</v>
      </c>
      <c r="H18" s="15" t="n">
        <v>1979000</v>
      </c>
      <c r="I18" s="15" t="n">
        <v>4148000</v>
      </c>
      <c r="J18" s="15" t="n">
        <v>4861000</v>
      </c>
      <c r="K18" s="15" t="n">
        <v>996000</v>
      </c>
      <c r="L18" s="15" t="n">
        <v>5495000</v>
      </c>
      <c r="M18" s="16" t="n"/>
      <c r="N18" s="7" t="str">
        <f>IFERROR(VLOOKUP(TRIM(B18),'확인표_A'!$A$6:$B$14,2,FALSE),"확인 필요")</f>
        <v>USD</v>
      </c>
      <c r="O18" s="7">
        <f>SUMPRODUCT(--ISTEXT(C18:E18))</f>
        <v>0</v>
      </c>
      <c r="P18" s="7">
        <f>IF(OR(G18="",H18="",I18="",J18="",L18=""),1,0)</f>
        <v>0</v>
      </c>
      <c r="Q18" s="7">
        <f>IF(AND(J18&lt;&gt;"",J18&lt;=0),1,0)</f>
        <v>0</v>
      </c>
      <c r="R18" s="20">
        <f>IF(OR(G18="",H18=""),"",G18/H18)</f>
        <v>1.1667508842849925</v>
      </c>
      <c r="S18" s="20">
        <f>IF(OR(I18="",J18="",Q18=1),"",I18/J18)</f>
        <v>0.8533223616539807</v>
      </c>
      <c r="T18" s="23">
        <f>IF(OR(K18="",L18=""),"",K18/L18*365)</f>
        <v>66.15832575068244</v>
      </c>
      <c r="U18" s="20" t="str">
        <f>IF(OR(M18="",L18=""),"",M18/L18)</f>
        <v/>
      </c>
      <c r="V18" s="8">
        <f>IF(ISTEXT(C18),"글자 섞임",ROUND(C18*VLOOKUP(N18,'환율_기준일'!$A$4:$E$7,5,FALSE)/'환율_기준일'!$E$4,2))</f>
        <v>0</v>
      </c>
      <c r="W18" s="7">
        <f>IF(ISNUMBER(V18),IF(V18&gt;F18*10,1,0),"")</f>
        <v>0</v>
      </c>
      <c r="X18" s="7" t="str">
        <f>IF(Q18=1,COUNTIF($Q$2:Q18,1),"")</f>
        <v/>
      </c>
    </row>
    <row r="19">
      <c r="A19" s="16" t="inlineStr">
        <is>
          <t>B018</t>
        </is>
      </c>
      <c r="B19" s="16" t="inlineStr">
        <is>
          <t>EUR</t>
        </is>
      </c>
      <c r="C19" s="15" t="n">
        <v>0</v>
      </c>
      <c r="D19" s="15" t="n">
        <v>0</v>
      </c>
      <c r="E19" s="15" t="n">
        <v>0</v>
      </c>
      <c r="F19" s="15" t="n">
        <v>20000</v>
      </c>
      <c r="G19" s="15" t="n">
        <v>17484000</v>
      </c>
      <c r="H19" s="15" t="n">
        <v>11417000</v>
      </c>
      <c r="I19" s="15" t="n">
        <v>24384000</v>
      </c>
      <c r="J19" s="15" t="n">
        <v>13466000</v>
      </c>
      <c r="K19" s="15" t="n">
        <v>6098000</v>
      </c>
      <c r="L19" s="15" t="n">
        <v>31866000</v>
      </c>
      <c r="M19" s="15" t="n">
        <v>-634000</v>
      </c>
      <c r="N19" s="7" t="str">
        <f>IFERROR(VLOOKUP(TRIM(B19),'확인표_A'!$A$6:$B$14,2,FALSE),"확인 필요")</f>
        <v>EUR</v>
      </c>
      <c r="O19" s="7">
        <f>SUMPRODUCT(--ISTEXT(C19:E19))</f>
        <v>0</v>
      </c>
      <c r="P19" s="7">
        <f>IF(OR(G19="",H19="",I19="",J19="",L19=""),1,0)</f>
        <v>0</v>
      </c>
      <c r="Q19" s="7">
        <f>IF(AND(J19&lt;&gt;"",J19&lt;=0),1,0)</f>
        <v>0</v>
      </c>
      <c r="R19" s="20">
        <f>IF(OR(G19="",H19=""),"",G19/H19)</f>
        <v>1.5314005430498379</v>
      </c>
      <c r="S19" s="20">
        <f>IF(OR(I19="",J19="",Q19=1),"",I19/J19)</f>
        <v>1.8107827120154463</v>
      </c>
      <c r="T19" s="23">
        <f>IF(OR(K19="",L19=""),"",K19/L19*365)</f>
        <v>69.84780016318334</v>
      </c>
      <c r="U19" s="20">
        <f>IF(OR(M19="",L19=""),"",M19/L19)</f>
        <v>-0.0198958137199523</v>
      </c>
      <c r="V19" s="8">
        <f>IF(ISTEXT(C19),"글자 섞임",ROUND(C19*VLOOKUP(N19,'환율_기준일'!$A$4:$E$7,5,FALSE)/'환율_기준일'!$E$4,2))</f>
        <v>0</v>
      </c>
      <c r="W19" s="7">
        <f>IF(ISNUMBER(V19),IF(V19&gt;F19*10,1,0),"")</f>
        <v>0</v>
      </c>
      <c r="X19" s="7" t="str">
        <f>IF(Q19=1,COUNTIF($Q$2:Q19,1),"")</f>
        <v/>
      </c>
    </row>
    <row r="20">
      <c r="A20" s="16" t="inlineStr">
        <is>
          <t>B019</t>
        </is>
      </c>
      <c r="B20" s="16" t="inlineStr">
        <is>
          <t>USD</t>
        </is>
      </c>
      <c r="C20" s="15" t="n">
        <v>12250</v>
      </c>
      <c r="D20" s="15" t="n">
        <v>12250</v>
      </c>
      <c r="E20" s="15" t="n">
        <v>0</v>
      </c>
      <c r="F20" s="15" t="n">
        <v>20000</v>
      </c>
      <c r="G20" s="15" t="n">
        <v>4111000</v>
      </c>
      <c r="H20" s="15" t="n">
        <v>2178000</v>
      </c>
      <c r="I20" s="15" t="n">
        <v>3133000</v>
      </c>
      <c r="J20" s="15" t="n">
        <v>2524000</v>
      </c>
      <c r="K20" s="16" t="n"/>
      <c r="L20" s="15" t="n">
        <v>13268000</v>
      </c>
      <c r="M20" s="15" t="n">
        <v>1653000</v>
      </c>
      <c r="N20" s="7" t="str">
        <f>IFERROR(VLOOKUP(TRIM(B20),'확인표_A'!$A$6:$B$14,2,FALSE),"확인 필요")</f>
        <v>USD</v>
      </c>
      <c r="O20" s="7">
        <f>SUMPRODUCT(--ISTEXT(C20:E20))</f>
        <v>0</v>
      </c>
      <c r="P20" s="7">
        <f>IF(OR(G20="",H20="",I20="",J20="",L20=""),1,0)</f>
        <v>0</v>
      </c>
      <c r="Q20" s="7">
        <f>IF(AND(J20&lt;&gt;"",J20&lt;=0),1,0)</f>
        <v>0</v>
      </c>
      <c r="R20" s="20">
        <f>IF(OR(G20="",H20=""),"",G20/H20)</f>
        <v>1.8875114784205693</v>
      </c>
      <c r="S20" s="20">
        <f>IF(OR(I20="",J20="",Q20=1),"",I20/J20)</f>
        <v>1.241283676703645</v>
      </c>
      <c r="T20" s="23" t="str">
        <f>IF(OR(K20="",L20=""),"",K20/L20*365)</f>
        <v/>
      </c>
      <c r="U20" s="20">
        <f>IF(OR(M20="",L20=""),"",M20/L20)</f>
        <v>0.12458546879710582</v>
      </c>
      <c r="V20" s="8">
        <f>IF(ISTEXT(C20),"글자 섞임",ROUND(C20*VLOOKUP(N20,'환율_기준일'!$A$4:$E$7,5,FALSE)/'환율_기준일'!$E$4,2))</f>
        <v>12250</v>
      </c>
      <c r="W20" s="7">
        <f>IF(ISNUMBER(V20),IF(V20&gt;F20*10,1,0),"")</f>
        <v>0</v>
      </c>
      <c r="X20" s="7" t="str">
        <f>IF(Q20=1,COUNTIF($Q$2:Q20,1),"")</f>
        <v/>
      </c>
    </row>
    <row r="21">
      <c r="A21" s="16" t="inlineStr">
        <is>
          <t>B020</t>
        </is>
      </c>
      <c r="B21" s="16" t="inlineStr">
        <is>
          <t>USD</t>
        </is>
      </c>
      <c r="C21" s="15" t="n">
        <v>0</v>
      </c>
      <c r="D21" s="15" t="n">
        <v>0</v>
      </c>
      <c r="E21" s="15" t="n">
        <v>0</v>
      </c>
      <c r="F21" s="15" t="n">
        <v>10000</v>
      </c>
      <c r="G21" s="15" t="n">
        <v>10263000</v>
      </c>
      <c r="H21" s="15" t="n">
        <v>8905000</v>
      </c>
      <c r="I21" s="15" t="n">
        <v>17416000</v>
      </c>
      <c r="J21" s="15" t="n">
        <v>3369000</v>
      </c>
      <c r="K21" s="15" t="n">
        <v>4723000</v>
      </c>
      <c r="L21" s="15" t="n">
        <v>16153000</v>
      </c>
      <c r="M21" s="15" t="n">
        <v>-1021000</v>
      </c>
      <c r="N21" s="7" t="str">
        <f>IFERROR(VLOOKUP(TRIM(B21),'확인표_A'!$A$6:$B$14,2,FALSE),"확인 필요")</f>
        <v>USD</v>
      </c>
      <c r="O21" s="7">
        <f>SUMPRODUCT(--ISTEXT(C21:E21))</f>
        <v>0</v>
      </c>
      <c r="P21" s="7">
        <f>IF(OR(G21="",H21="",I21="",J21="",L21=""),1,0)</f>
        <v>0</v>
      </c>
      <c r="Q21" s="7">
        <f>IF(AND(J21&lt;&gt;"",J21&lt;=0),1,0)</f>
        <v>0</v>
      </c>
      <c r="R21" s="20">
        <f>IF(OR(G21="",H21=""),"",G21/H21)</f>
        <v>1.1524985962942167</v>
      </c>
      <c r="S21" s="20">
        <f>IF(OR(I21="",J21="",Q21=1),"",I21/J21)</f>
        <v>5.169486494508757</v>
      </c>
      <c r="T21" s="23">
        <f>IF(OR(K21="",L21=""),"",K21/L21*365)</f>
        <v>106.72289977094039</v>
      </c>
      <c r="U21" s="20">
        <f>IF(OR(M21="",L21=""),"",M21/L21)</f>
        <v>-0.06320807280381353</v>
      </c>
      <c r="V21" s="8">
        <f>IF(ISTEXT(C21),"글자 섞임",ROUND(C21*VLOOKUP(N21,'환율_기준일'!$A$4:$E$7,5,FALSE)/'환율_기준일'!$E$4,2))</f>
        <v>0</v>
      </c>
      <c r="W21" s="7">
        <f>IF(ISNUMBER(V21),IF(V21&gt;F21*10,1,0),"")</f>
        <v>0</v>
      </c>
      <c r="X21" s="7" t="str">
        <f>IF(Q21=1,COUNTIF($Q$2:Q21,1),"")</f>
        <v/>
      </c>
    </row>
    <row r="22">
      <c r="A22" s="16" t="inlineStr">
        <is>
          <t>B021</t>
        </is>
      </c>
      <c r="B22" s="16" t="inlineStr">
        <is>
          <t>CNY</t>
        </is>
      </c>
      <c r="C22" s="15" t="n">
        <v>427100</v>
      </c>
      <c r="D22" s="15" t="n">
        <v>427100</v>
      </c>
      <c r="E22" s="15" t="n">
        <v>0</v>
      </c>
      <c r="F22" s="15" t="n">
        <v>30000</v>
      </c>
      <c r="G22" s="15" t="n">
        <v>21871000</v>
      </c>
      <c r="H22" s="15" t="n">
        <v>17090000</v>
      </c>
      <c r="I22" s="15" t="n">
        <v>25868000</v>
      </c>
      <c r="J22" s="15" t="n">
        <v>31185000</v>
      </c>
      <c r="K22" s="16" t="n"/>
      <c r="L22" s="15" t="n">
        <v>49384000</v>
      </c>
      <c r="M22" s="15" t="n">
        <v>2135000</v>
      </c>
      <c r="N22" s="7" t="str">
        <f>IFERROR(VLOOKUP(TRIM(B22),'확인표_A'!$A$6:$B$14,2,FALSE),"확인 필요")</f>
        <v>CNY</v>
      </c>
      <c r="O22" s="7">
        <f>SUMPRODUCT(--ISTEXT(C22:E22))</f>
        <v>0</v>
      </c>
      <c r="P22" s="7">
        <f>IF(OR(G22="",H22="",I22="",J22="",L22=""),1,0)</f>
        <v>0</v>
      </c>
      <c r="Q22" s="7">
        <f>IF(AND(J22&lt;&gt;"",J22&lt;=0),1,0)</f>
        <v>0</v>
      </c>
      <c r="R22" s="20">
        <f>IF(OR(G22="",H22=""),"",G22/H22)</f>
        <v>1.2797542422469281</v>
      </c>
      <c r="S22" s="20">
        <f>IF(OR(I22="",J22="",Q22=1),"",I22/J22)</f>
        <v>0.8295013628346962</v>
      </c>
      <c r="T22" s="23" t="str">
        <f>IF(OR(K22="",L22=""),"",K22/L22*365)</f>
        <v/>
      </c>
      <c r="U22" s="20">
        <f>IF(OR(M22="",L22=""),"",M22/L22)</f>
        <v>0.04323262595172526</v>
      </c>
      <c r="V22" s="8">
        <f>IF(ISTEXT(C22),"글자 섞임",ROUND(C22*VLOOKUP(N22,'환율_기준일'!$A$4:$E$7,5,FALSE)/'환율_기준일'!$E$4,2))</f>
        <v>63560.1</v>
      </c>
      <c r="W22" s="7">
        <f>IF(ISNUMBER(V22),IF(V22&gt;F22*10,1,0),"")</f>
        <v>0</v>
      </c>
      <c r="X22" s="7" t="str">
        <f>IF(Q22=1,COUNTIF($Q$2:Q22,1),"")</f>
        <v/>
      </c>
    </row>
    <row r="23">
      <c r="A23" s="16" t="inlineStr">
        <is>
          <t>B022</t>
        </is>
      </c>
      <c r="B23" s="16" t="inlineStr">
        <is>
          <t>US$</t>
        </is>
      </c>
      <c r="C23" s="15" t="n">
        <v>95880</v>
      </c>
      <c r="D23" s="15" t="n">
        <v>91550</v>
      </c>
      <c r="E23" s="15" t="n">
        <v>4330</v>
      </c>
      <c r="F23" s="15" t="n">
        <v>50000</v>
      </c>
      <c r="G23" s="15" t="n">
        <v>36497000</v>
      </c>
      <c r="H23" s="15" t="n">
        <v>26854000</v>
      </c>
      <c r="I23" s="15" t="n">
        <v>32891000</v>
      </c>
      <c r="J23" s="15" t="n">
        <v>26270000</v>
      </c>
      <c r="K23" s="15" t="n">
        <v>16634000</v>
      </c>
      <c r="L23" s="15" t="n">
        <v>169300000</v>
      </c>
      <c r="M23" s="15" t="n">
        <v>14692000</v>
      </c>
      <c r="N23" s="7" t="str">
        <f>IFERROR(VLOOKUP(TRIM(B23),'확인표_A'!$A$6:$B$14,2,FALSE),"확인 필요")</f>
        <v>USD</v>
      </c>
      <c r="O23" s="7">
        <f>SUMPRODUCT(--ISTEXT(C23:E23))</f>
        <v>0</v>
      </c>
      <c r="P23" s="7">
        <f>IF(OR(G23="",H23="",I23="",J23="",L23=""),1,0)</f>
        <v>0</v>
      </c>
      <c r="Q23" s="7">
        <f>IF(AND(J23&lt;&gt;"",J23&lt;=0),1,0)</f>
        <v>0</v>
      </c>
      <c r="R23" s="20">
        <f>IF(OR(G23="",H23=""),"",G23/H23)</f>
        <v>1.3590898934981752</v>
      </c>
      <c r="S23" s="20">
        <f>IF(OR(I23="",J23="",Q23=1),"",I23/J23)</f>
        <v>1.2520365435858394</v>
      </c>
      <c r="T23" s="23">
        <f>IF(OR(K23="",L23=""),"",K23/L23*365)</f>
        <v>35.861842882457175</v>
      </c>
      <c r="U23" s="20">
        <f>IF(OR(M23="",L23=""),"",M23/L23)</f>
        <v>0.08678086237448317</v>
      </c>
      <c r="V23" s="8">
        <f>IF(ISTEXT(C23),"글자 섞임",ROUND(C23*VLOOKUP(N23,'환율_기준일'!$A$4:$E$7,5,FALSE)/'환율_기준일'!$E$4,2))</f>
        <v>95880</v>
      </c>
      <c r="W23" s="7">
        <f>IF(ISNUMBER(V23),IF(V23&gt;F23*10,1,0),"")</f>
        <v>0</v>
      </c>
      <c r="X23" s="7" t="str">
        <f>IF(Q23=1,COUNTIF($Q$2:Q23,1),"")</f>
        <v/>
      </c>
    </row>
    <row r="24">
      <c r="A24" s="16" t="inlineStr">
        <is>
          <t>B023</t>
        </is>
      </c>
      <c r="B24" s="16" t="inlineStr">
        <is>
          <t>USD</t>
        </is>
      </c>
      <c r="C24" s="15" t="n">
        <v>26500</v>
      </c>
      <c r="D24" s="15" t="n">
        <v>22410</v>
      </c>
      <c r="E24" s="15" t="n">
        <v>4090</v>
      </c>
      <c r="F24" s="15" t="n">
        <v>50000</v>
      </c>
      <c r="G24" s="16" t="n"/>
      <c r="H24" s="16" t="n"/>
      <c r="I24" s="16" t="n"/>
      <c r="J24" s="16" t="n"/>
      <c r="K24" s="16" t="n"/>
      <c r="L24" s="16" t="n"/>
      <c r="M24" s="16" t="n"/>
      <c r="N24" s="7" t="str">
        <f>IFERROR(VLOOKUP(TRIM(B24),'확인표_A'!$A$6:$B$14,2,FALSE),"확인 필요")</f>
        <v>USD</v>
      </c>
      <c r="O24" s="7">
        <f>SUMPRODUCT(--ISTEXT(C24:E24))</f>
        <v>0</v>
      </c>
      <c r="P24" s="7">
        <f>IF(OR(G24="",H24="",I24="",J24="",L24=""),1,0)</f>
        <v>1</v>
      </c>
      <c r="Q24" s="7">
        <f>IF(AND(J24&lt;&gt;"",J24&lt;=0),1,0)</f>
        <v>0</v>
      </c>
      <c r="R24" s="20" t="str">
        <f>IF(OR(G24="",H24=""),"",G24/H24)</f>
        <v/>
      </c>
      <c r="S24" s="20" t="str">
        <f>IF(OR(I24="",J24="",Q24=1),"",I24/J24)</f>
        <v/>
      </c>
      <c r="T24" s="23" t="str">
        <f>IF(OR(K24="",L24=""),"",K24/L24*365)</f>
        <v/>
      </c>
      <c r="U24" s="20" t="str">
        <f>IF(OR(M24="",L24=""),"",M24/L24)</f>
        <v/>
      </c>
      <c r="V24" s="8">
        <f>IF(ISTEXT(C24),"글자 섞임",ROUND(C24*VLOOKUP(N24,'환율_기준일'!$A$4:$E$7,5,FALSE)/'환율_기준일'!$E$4,2))</f>
        <v>26500</v>
      </c>
      <c r="W24" s="7">
        <f>IF(ISNUMBER(V24),IF(V24&gt;F24*10,1,0),"")</f>
        <v>0</v>
      </c>
      <c r="X24" s="7" t="str">
        <f>IF(Q24=1,COUNTIF($Q$2:Q24,1),"")</f>
        <v/>
      </c>
    </row>
    <row r="25">
      <c r="A25" s="16" t="inlineStr">
        <is>
          <t>B024</t>
        </is>
      </c>
      <c r="B25" s="16" t="inlineStr">
        <is>
          <t>usd</t>
        </is>
      </c>
      <c r="C25" s="15" t="n">
        <v>10080</v>
      </c>
      <c r="D25" s="15" t="n">
        <v>10080</v>
      </c>
      <c r="E25" s="15" t="n">
        <v>0</v>
      </c>
      <c r="F25" s="15" t="n">
        <v>10000</v>
      </c>
      <c r="G25" s="15" t="n">
        <v>5546000</v>
      </c>
      <c r="H25" s="15" t="n">
        <v>4851000</v>
      </c>
      <c r="I25" s="15" t="n">
        <v>9481000</v>
      </c>
      <c r="J25" s="15" t="n">
        <v>3648000</v>
      </c>
      <c r="K25" s="15" t="n">
        <v>2394000</v>
      </c>
      <c r="L25" s="15" t="n">
        <v>10854000</v>
      </c>
      <c r="M25" s="15" t="n">
        <v>940000</v>
      </c>
      <c r="N25" s="7" t="str">
        <f>IFERROR(VLOOKUP(TRIM(B25),'확인표_A'!$A$6:$B$14,2,FALSE),"확인 필요")</f>
        <v>USD</v>
      </c>
      <c r="O25" s="7">
        <f>SUMPRODUCT(--ISTEXT(C25:E25))</f>
        <v>0</v>
      </c>
      <c r="P25" s="7">
        <f>IF(OR(G25="",H25="",I25="",J25="",L25=""),1,0)</f>
        <v>0</v>
      </c>
      <c r="Q25" s="7">
        <f>IF(AND(J25&lt;&gt;"",J25&lt;=0),1,0)</f>
        <v>0</v>
      </c>
      <c r="R25" s="20">
        <f>IF(OR(G25="",H25=""),"",G25/H25)</f>
        <v>1.1432694289837146</v>
      </c>
      <c r="S25" s="20">
        <f>IF(OR(I25="",J25="",Q25=1),"",I25/J25)</f>
        <v>2.5989583333333335</v>
      </c>
      <c r="T25" s="23">
        <f>IF(OR(K25="",L25=""),"",K25/L25*365)</f>
        <v>80.50580431177445</v>
      </c>
      <c r="U25" s="20">
        <f>IF(OR(M25="",L25=""),"",M25/L25)</f>
        <v>0.08660401695227565</v>
      </c>
      <c r="V25" s="8">
        <f>IF(ISTEXT(C25),"글자 섞임",ROUND(C25*VLOOKUP(N25,'환율_기준일'!$A$4:$E$7,5,FALSE)/'환율_기준일'!$E$4,2))</f>
        <v>10080</v>
      </c>
      <c r="W25" s="7">
        <f>IF(ISNUMBER(V25),IF(V25&gt;F25*10,1,0),"")</f>
        <v>0</v>
      </c>
      <c r="X25" s="7" t="str">
        <f>IF(Q25=1,COUNTIF($Q$2:Q25,1),"")</f>
        <v/>
      </c>
    </row>
    <row r="26">
      <c r="A26" s="16" t="inlineStr">
        <is>
          <t>B025</t>
        </is>
      </c>
      <c r="B26" s="16" t="inlineStr">
        <is>
          <t>EUR</t>
        </is>
      </c>
      <c r="C26" s="15" t="n">
        <v>1370</v>
      </c>
      <c r="D26" s="15" t="n">
        <v>1370</v>
      </c>
      <c r="E26" s="15" t="n">
        <v>0</v>
      </c>
      <c r="F26" s="15" t="n">
        <v>10000</v>
      </c>
      <c r="G26" s="15" t="n">
        <v>1880000</v>
      </c>
      <c r="H26" s="15" t="n">
        <v>886000</v>
      </c>
      <c r="I26" s="15" t="n">
        <v>1657000</v>
      </c>
      <c r="J26" s="15" t="n">
        <v>2343000</v>
      </c>
      <c r="K26" s="15" t="n">
        <v>872000</v>
      </c>
      <c r="L26" s="15" t="n">
        <v>5387000</v>
      </c>
      <c r="M26" s="16" t="n"/>
      <c r="N26" s="7" t="str">
        <f>IFERROR(VLOOKUP(TRIM(B26),'확인표_A'!$A$6:$B$14,2,FALSE),"확인 필요")</f>
        <v>EUR</v>
      </c>
      <c r="O26" s="7">
        <f>SUMPRODUCT(--ISTEXT(C26:E26))</f>
        <v>0</v>
      </c>
      <c r="P26" s="7">
        <f>IF(OR(G26="",H26="",I26="",J26="",L26=""),1,0)</f>
        <v>0</v>
      </c>
      <c r="Q26" s="7">
        <f>IF(AND(J26&lt;&gt;"",J26&lt;=0),1,0)</f>
        <v>0</v>
      </c>
      <c r="R26" s="20">
        <f>IF(OR(G26="",H26=""),"",G26/H26)</f>
        <v>2.1218961625282167</v>
      </c>
      <c r="S26" s="20">
        <f>IF(OR(I26="",J26="",Q26=1),"",I26/J26)</f>
        <v>0.7072129748186087</v>
      </c>
      <c r="T26" s="23">
        <f>IF(OR(K26="",L26=""),"",K26/L26*365)</f>
        <v>59.082977538518655</v>
      </c>
      <c r="U26" s="20" t="str">
        <f>IF(OR(M26="",L26=""),"",M26/L26)</f>
        <v/>
      </c>
      <c r="V26" s="8">
        <f>IF(ISTEXT(C26),"글자 섞임",ROUND(C26*VLOOKUP(N26,'환율_기준일'!$A$4:$E$7,5,FALSE)/'환율_기준일'!$E$4,2))</f>
        <v>1591.53</v>
      </c>
      <c r="W26" s="7">
        <f>IF(ISNUMBER(V26),IF(V26&gt;F26*10,1,0),"")</f>
        <v>0</v>
      </c>
      <c r="X26" s="7" t="str">
        <f>IF(Q26=1,COUNTIF($Q$2:Q26,1),"")</f>
        <v/>
      </c>
    </row>
    <row r="27">
      <c r="A27" s="16" t="inlineStr">
        <is>
          <t>B026</t>
        </is>
      </c>
      <c r="B27" s="16" t="inlineStr">
        <is>
          <t>US$</t>
        </is>
      </c>
      <c r="C27" s="15" t="n">
        <v>50120</v>
      </c>
      <c r="D27" s="15" t="n">
        <v>50120</v>
      </c>
      <c r="E27" s="15" t="n">
        <v>0</v>
      </c>
      <c r="F27" s="15" t="n">
        <v>60000</v>
      </c>
      <c r="G27" s="16" t="n"/>
      <c r="H27" s="16" t="n"/>
      <c r="I27" s="16" t="n"/>
      <c r="J27" s="16" t="n"/>
      <c r="K27" s="16" t="n"/>
      <c r="L27" s="16" t="n"/>
      <c r="M27" s="16" t="n"/>
      <c r="N27" s="7" t="str">
        <f>IFERROR(VLOOKUP(TRIM(B27),'확인표_A'!$A$6:$B$14,2,FALSE),"확인 필요")</f>
        <v>USD</v>
      </c>
      <c r="O27" s="7">
        <f>SUMPRODUCT(--ISTEXT(C27:E27))</f>
        <v>0</v>
      </c>
      <c r="P27" s="7">
        <f>IF(OR(G27="",H27="",I27="",J27="",L27=""),1,0)</f>
        <v>1</v>
      </c>
      <c r="Q27" s="7">
        <f>IF(AND(J27&lt;&gt;"",J27&lt;=0),1,0)</f>
        <v>0</v>
      </c>
      <c r="R27" s="20" t="str">
        <f>IF(OR(G27="",H27=""),"",G27/H27)</f>
        <v/>
      </c>
      <c r="S27" s="20" t="str">
        <f>IF(OR(I27="",J27="",Q27=1),"",I27/J27)</f>
        <v/>
      </c>
      <c r="T27" s="23" t="str">
        <f>IF(OR(K27="",L27=""),"",K27/L27*365)</f>
        <v/>
      </c>
      <c r="U27" s="20" t="str">
        <f>IF(OR(M27="",L27=""),"",M27/L27)</f>
        <v/>
      </c>
      <c r="V27" s="8">
        <f>IF(ISTEXT(C27),"글자 섞임",ROUND(C27*VLOOKUP(N27,'환율_기준일'!$A$4:$E$7,5,FALSE)/'환율_기준일'!$E$4,2))</f>
        <v>50120</v>
      </c>
      <c r="W27" s="7">
        <f>IF(ISNUMBER(V27),IF(V27&gt;F27*10,1,0),"")</f>
        <v>0</v>
      </c>
      <c r="X27" s="7" t="str">
        <f>IF(Q27=1,COUNTIF($Q$2:Q27,1),"")</f>
        <v/>
      </c>
    </row>
    <row r="28">
      <c r="A28" s="16" t="inlineStr">
        <is>
          <t>B027</t>
        </is>
      </c>
      <c r="B28" s="16" t="inlineStr">
        <is>
          <t>USD</t>
        </is>
      </c>
      <c r="C28" s="15" t="n">
        <v>0</v>
      </c>
      <c r="D28" s="15" t="n">
        <v>0</v>
      </c>
      <c r="E28" s="15" t="n">
        <v>0</v>
      </c>
      <c r="F28" s="15" t="n">
        <v>10000</v>
      </c>
      <c r="G28" s="16" t="n"/>
      <c r="H28" s="16" t="n"/>
      <c r="I28" s="16" t="n"/>
      <c r="J28" s="16" t="n"/>
      <c r="K28" s="16" t="n"/>
      <c r="L28" s="16" t="n"/>
      <c r="M28" s="16" t="n"/>
      <c r="N28" s="7" t="str">
        <f>IFERROR(VLOOKUP(TRIM(B28),'확인표_A'!$A$6:$B$14,2,FALSE),"확인 필요")</f>
        <v>USD</v>
      </c>
      <c r="O28" s="7">
        <f>SUMPRODUCT(--ISTEXT(C28:E28))</f>
        <v>0</v>
      </c>
      <c r="P28" s="7">
        <f>IF(OR(G28="",H28="",I28="",J28="",L28=""),1,0)</f>
        <v>1</v>
      </c>
      <c r="Q28" s="7">
        <f>IF(AND(J28&lt;&gt;"",J28&lt;=0),1,0)</f>
        <v>0</v>
      </c>
      <c r="R28" s="20" t="str">
        <f>IF(OR(G28="",H28=""),"",G28/H28)</f>
        <v/>
      </c>
      <c r="S28" s="20" t="str">
        <f>IF(OR(I28="",J28="",Q28=1),"",I28/J28)</f>
        <v/>
      </c>
      <c r="T28" s="23" t="str">
        <f>IF(OR(K28="",L28=""),"",K28/L28*365)</f>
        <v/>
      </c>
      <c r="U28" s="20" t="str">
        <f>IF(OR(M28="",L28=""),"",M28/L28)</f>
        <v/>
      </c>
      <c r="V28" s="8">
        <f>IF(ISTEXT(C28),"글자 섞임",ROUND(C28*VLOOKUP(N28,'환율_기준일'!$A$4:$E$7,5,FALSE)/'환율_기준일'!$E$4,2))</f>
        <v>0</v>
      </c>
      <c r="W28" s="7">
        <f>IF(ISNUMBER(V28),IF(V28&gt;F28*10,1,0),"")</f>
        <v>0</v>
      </c>
      <c r="X28" s="7" t="str">
        <f>IF(Q28=1,COUNTIF($Q$2:Q28,1),"")</f>
        <v/>
      </c>
    </row>
    <row r="29">
      <c r="A29" s="16" t="inlineStr">
        <is>
          <t>B028</t>
        </is>
      </c>
      <c r="B29" s="16" t="inlineStr">
        <is>
          <t>JPY</t>
        </is>
      </c>
      <c r="C29" s="15" t="n">
        <v>32072000</v>
      </c>
      <c r="D29" s="15" t="n">
        <v>32072000</v>
      </c>
      <c r="E29" s="15" t="n">
        <v>0</v>
      </c>
      <c r="F29" s="15" t="n">
        <v>170000</v>
      </c>
      <c r="G29" s="15" t="n">
        <v>48811000</v>
      </c>
      <c r="H29" s="15" t="n">
        <v>28084000</v>
      </c>
      <c r="I29" s="15" t="n">
        <v>38949000</v>
      </c>
      <c r="J29" s="15" t="n">
        <v>69738000</v>
      </c>
      <c r="K29" s="15" t="n">
        <v>16800000</v>
      </c>
      <c r="L29" s="15" t="n">
        <v>160688000</v>
      </c>
      <c r="M29" s="15" t="n">
        <v>22088000</v>
      </c>
      <c r="N29" s="7" t="str">
        <f>IFERROR(VLOOKUP(TRIM(B29),'확인표_A'!$A$6:$B$14,2,FALSE),"확인 필요")</f>
        <v>JPY</v>
      </c>
      <c r="O29" s="7">
        <f>SUMPRODUCT(--ISTEXT(C29:E29))</f>
        <v>0</v>
      </c>
      <c r="P29" s="7">
        <f>IF(OR(G29="",H29="",I29="",J29="",L29=""),1,0)</f>
        <v>0</v>
      </c>
      <c r="Q29" s="7">
        <f>IF(AND(J29&lt;&gt;"",J29&lt;=0),1,0)</f>
        <v>0</v>
      </c>
      <c r="R29" s="20">
        <f>IF(OR(G29="",H29=""),"",G29/H29)</f>
        <v>1.738035892323031</v>
      </c>
      <c r="S29" s="20">
        <f>IF(OR(I29="",J29="",Q29=1),"",I29/J29)</f>
        <v>0.558504688978749</v>
      </c>
      <c r="T29" s="23">
        <f>IF(OR(K29="",L29=""),"",K29/L29*365)</f>
        <v>38.16090809519068</v>
      </c>
      <c r="U29" s="20">
        <f>IF(OR(M29="",L29=""),"",M29/L29)</f>
        <v>0.13745892661555312</v>
      </c>
      <c r="V29" s="8">
        <f>IF(ISTEXT(C29),"글자 섞임",ROUND(C29*VLOOKUP(N29,'환율_기준일'!$A$4:$E$7,5,FALSE)/'환율_기준일'!$E$4,2))</f>
        <v>200776.7</v>
      </c>
      <c r="W29" s="7">
        <f>IF(ISNUMBER(V29),IF(V29&gt;F29*10,1,0),"")</f>
        <v>0</v>
      </c>
      <c r="X29" s="7" t="str">
        <f>IF(Q29=1,COUNTIF($Q$2:Q29,1),"")</f>
        <v/>
      </c>
    </row>
    <row r="30">
      <c r="A30" s="16" t="inlineStr">
        <is>
          <t>B029</t>
        </is>
      </c>
      <c r="B30" s="16" t="inlineStr">
        <is>
          <t>usd</t>
        </is>
      </c>
      <c r="C30" s="15" t="n">
        <v>60187.68</v>
      </c>
      <c r="D30" s="15" t="n">
        <v>34010</v>
      </c>
      <c r="E30" s="15" t="n">
        <v>5170</v>
      </c>
      <c r="F30" s="15" t="n">
        <v>100000</v>
      </c>
      <c r="G30" s="15" t="n">
        <v>289083000</v>
      </c>
      <c r="H30" s="15" t="n">
        <v>232878000</v>
      </c>
      <c r="I30" s="15" t="n">
        <v>327268000</v>
      </c>
      <c r="J30" s="15" t="n">
        <v>150008000</v>
      </c>
      <c r="K30" s="15" t="n">
        <v>103981000</v>
      </c>
      <c r="L30" s="15" t="n">
        <v>437297000</v>
      </c>
      <c r="M30" s="15" t="n">
        <v>44755000</v>
      </c>
      <c r="N30" s="7" t="str">
        <f>IFERROR(VLOOKUP(TRIM(B30),'확인표_A'!$A$6:$B$14,2,FALSE),"확인 필요")</f>
        <v>USD</v>
      </c>
      <c r="O30" s="7">
        <f>SUMPRODUCT(--ISTEXT(C30:E30))</f>
        <v>0</v>
      </c>
      <c r="P30" s="7">
        <f>IF(OR(G30="",H30="",I30="",J30="",L30=""),1,0)</f>
        <v>0</v>
      </c>
      <c r="Q30" s="7">
        <f>IF(AND(J30&lt;&gt;"",J30&lt;=0),1,0)</f>
        <v>0</v>
      </c>
      <c r="R30" s="20">
        <f>IF(OR(G30="",H30=""),"",G30/H30)</f>
        <v>1.241349547831912</v>
      </c>
      <c r="S30" s="20">
        <f>IF(OR(I30="",J30="",Q30=1),"",I30/J30)</f>
        <v>2.181670310916751</v>
      </c>
      <c r="T30" s="23">
        <f>IF(OR(K30="",L30=""),"",K30/L30*365)</f>
        <v>86.79013347907714</v>
      </c>
      <c r="U30" s="20">
        <f>IF(OR(M30="",L30=""),"",M30/L30)</f>
        <v>0.10234463076581819</v>
      </c>
      <c r="V30" s="8">
        <f>IF(ISTEXT(C30),"글자 섞임",ROUND(C30*VLOOKUP(N30,'환율_기준일'!$A$4:$E$7,5,FALSE)/'환율_기준일'!$E$4,2))</f>
        <v>60187.68</v>
      </c>
      <c r="W30" s="7">
        <f>IF(ISNUMBER(V30),IF(V30&gt;F30*10,1,0),"")</f>
        <v>0</v>
      </c>
      <c r="X30" s="7" t="str">
        <f>IF(Q30=1,COUNTIF($Q$2:Q30,1),"")</f>
        <v/>
      </c>
    </row>
    <row r="31">
      <c r="A31" s="16" t="inlineStr">
        <is>
          <t>B030</t>
        </is>
      </c>
      <c r="B31" s="16" t="inlineStr">
        <is>
          <t>USD</t>
        </is>
      </c>
      <c r="C31" s="15" t="n">
        <v>21030</v>
      </c>
      <c r="D31" s="15" t="n">
        <v>21030</v>
      </c>
      <c r="E31" s="15" t="n">
        <v>0</v>
      </c>
      <c r="F31" s="15" t="n">
        <v>40000</v>
      </c>
      <c r="G31" s="15" t="n">
        <v>31198000</v>
      </c>
      <c r="H31" s="15" t="n">
        <v>42853000</v>
      </c>
      <c r="I31" s="15" t="n">
        <v>81042000</v>
      </c>
      <c r="J31" s="16" t="n"/>
      <c r="K31" s="15" t="n">
        <v>12859000</v>
      </c>
      <c r="L31" s="15" t="n">
        <v>45005000</v>
      </c>
      <c r="M31" s="15" t="n">
        <v>-3711000</v>
      </c>
      <c r="N31" s="7" t="str">
        <f>IFERROR(VLOOKUP(TRIM(B31),'확인표_A'!$A$6:$B$14,2,FALSE),"확인 필요")</f>
        <v>USD</v>
      </c>
      <c r="O31" s="7">
        <f>SUMPRODUCT(--ISTEXT(C31:E31))</f>
        <v>0</v>
      </c>
      <c r="P31" s="7">
        <f>IF(OR(G31="",H31="",I31="",J31="",L31=""),1,0)</f>
        <v>1</v>
      </c>
      <c r="Q31" s="7">
        <f>IF(AND(J31&lt;&gt;"",J31&lt;=0),1,0)</f>
        <v>0</v>
      </c>
      <c r="R31" s="20">
        <f>IF(OR(G31="",H31=""),"",G31/H31)</f>
        <v>0.7280237089585326</v>
      </c>
      <c r="S31" s="20" t="str">
        <f>IF(OR(I31="",J31="",Q31=1),"",I31/J31)</f>
        <v/>
      </c>
      <c r="T31" s="23">
        <f>IF(OR(K31="",L31=""),"",K31/L31*365)</f>
        <v>104.28919008999</v>
      </c>
      <c r="U31" s="20">
        <f>IF(OR(M31="",L31=""),"",M31/L31)</f>
        <v>-0.08245750472169759</v>
      </c>
      <c r="V31" s="8">
        <f>IF(ISTEXT(C31),"글자 섞임",ROUND(C31*VLOOKUP(N31,'환율_기준일'!$A$4:$E$7,5,FALSE)/'환율_기준일'!$E$4,2))</f>
        <v>21030</v>
      </c>
      <c r="W31" s="7">
        <f>IF(ISNUMBER(V31),IF(V31&gt;F31*10,1,0),"")</f>
        <v>0</v>
      </c>
      <c r="X31" s="7" t="str">
        <f>IF(Q31=1,COUNTIF($Q$2:Q31,1),"")</f>
        <v/>
      </c>
    </row>
    <row r="32">
      <c r="A32" s="16" t="inlineStr">
        <is>
          <t>B031</t>
        </is>
      </c>
      <c r="B32" s="16" t="inlineStr">
        <is>
          <t>USD</t>
        </is>
      </c>
      <c r="C32" s="15" t="n">
        <v>59690</v>
      </c>
      <c r="D32" s="15" t="n">
        <v>40490</v>
      </c>
      <c r="E32" s="15" t="n">
        <v>14930</v>
      </c>
      <c r="F32" s="15" t="n">
        <v>50000</v>
      </c>
      <c r="G32" s="15" t="n">
        <v>116791000</v>
      </c>
      <c r="H32" s="16" t="n"/>
      <c r="I32" s="15" t="n">
        <v>112408000</v>
      </c>
      <c r="J32" s="16" t="n"/>
      <c r="K32" s="15" t="n">
        <v>40333000</v>
      </c>
      <c r="L32" s="15" t="n">
        <v>243199000</v>
      </c>
      <c r="M32" s="15" t="n">
        <v>18357000</v>
      </c>
      <c r="N32" s="7" t="str">
        <f>IFERROR(VLOOKUP(TRIM(B32),'확인표_A'!$A$6:$B$14,2,FALSE),"확인 필요")</f>
        <v>USD</v>
      </c>
      <c r="O32" s="7">
        <f>SUMPRODUCT(--ISTEXT(C32:E32))</f>
        <v>0</v>
      </c>
      <c r="P32" s="7">
        <f>IF(OR(G32="",H32="",I32="",J32="",L32=""),1,0)</f>
        <v>1</v>
      </c>
      <c r="Q32" s="7">
        <f>IF(AND(J32&lt;&gt;"",J32&lt;=0),1,0)</f>
        <v>0</v>
      </c>
      <c r="R32" s="20" t="str">
        <f>IF(OR(G32="",H32=""),"",G32/H32)</f>
        <v/>
      </c>
      <c r="S32" s="20" t="str">
        <f>IF(OR(I32="",J32="",Q32=1),"",I32/J32)</f>
        <v/>
      </c>
      <c r="T32" s="23">
        <f>IF(OR(K32="",L32=""),"",K32/L32*365)</f>
        <v>60.53291748732519</v>
      </c>
      <c r="U32" s="20">
        <f>IF(OR(M32="",L32=""),"",M32/L32)</f>
        <v>0.07548139589389759</v>
      </c>
      <c r="V32" s="8">
        <f>IF(ISTEXT(C32),"글자 섞임",ROUND(C32*VLOOKUP(N32,'환율_기준일'!$A$4:$E$7,5,FALSE)/'환율_기준일'!$E$4,2))</f>
        <v>59690</v>
      </c>
      <c r="W32" s="7">
        <f>IF(ISNUMBER(V32),IF(V32&gt;F32*10,1,0),"")</f>
        <v>0</v>
      </c>
      <c r="X32" s="7" t="str">
        <f>IF(Q32=1,COUNTIF($Q$2:Q32,1),"")</f>
        <v/>
      </c>
    </row>
    <row r="33">
      <c r="A33" s="16" t="inlineStr">
        <is>
          <t>B032</t>
        </is>
      </c>
      <c r="B33" s="16" t="inlineStr">
        <is>
          <t>USD</t>
        </is>
      </c>
      <c r="C33" s="15" t="n">
        <v>18070</v>
      </c>
      <c r="D33" s="15" t="n">
        <v>18070</v>
      </c>
      <c r="E33" s="15" t="n">
        <v>0</v>
      </c>
      <c r="F33" s="15" t="n">
        <v>10000</v>
      </c>
      <c r="G33" s="15" t="n">
        <v>90449000</v>
      </c>
      <c r="H33" s="16" t="n"/>
      <c r="I33" s="15" t="n">
        <v>108506000</v>
      </c>
      <c r="J33" s="15" t="n">
        <v>57139000</v>
      </c>
      <c r="K33" s="16" t="n"/>
      <c r="L33" s="15" t="n">
        <v>138829000</v>
      </c>
      <c r="M33" s="16" t="n"/>
      <c r="N33" s="7" t="str">
        <f>IFERROR(VLOOKUP(TRIM(B33),'확인표_A'!$A$6:$B$14,2,FALSE),"확인 필요")</f>
        <v>USD</v>
      </c>
      <c r="O33" s="7">
        <f>SUMPRODUCT(--ISTEXT(C33:E33))</f>
        <v>0</v>
      </c>
      <c r="P33" s="7">
        <f>IF(OR(G33="",H33="",I33="",J33="",L33=""),1,0)</f>
        <v>1</v>
      </c>
      <c r="Q33" s="7">
        <f>IF(AND(J33&lt;&gt;"",J33&lt;=0),1,0)</f>
        <v>0</v>
      </c>
      <c r="R33" s="20" t="str">
        <f>IF(OR(G33="",H33=""),"",G33/H33)</f>
        <v/>
      </c>
      <c r="S33" s="20">
        <f>IF(OR(I33="",J33="",Q33=1),"",I33/J33)</f>
        <v>1.8989831813647422</v>
      </c>
      <c r="T33" s="23" t="str">
        <f>IF(OR(K33="",L33=""),"",K33/L33*365)</f>
        <v/>
      </c>
      <c r="U33" s="20" t="str">
        <f>IF(OR(M33="",L33=""),"",M33/L33)</f>
        <v/>
      </c>
      <c r="V33" s="8">
        <f>IF(ISTEXT(C33),"글자 섞임",ROUND(C33*VLOOKUP(N33,'환율_기준일'!$A$4:$E$7,5,FALSE)/'환율_기준일'!$E$4,2))</f>
        <v>18070</v>
      </c>
      <c r="W33" s="7">
        <f>IF(ISNUMBER(V33),IF(V33&gt;F33*10,1,0),"")</f>
        <v>0</v>
      </c>
      <c r="X33" s="7" t="str">
        <f>IF(Q33=1,COUNTIF($Q$2:Q33,1),"")</f>
        <v/>
      </c>
    </row>
    <row r="34">
      <c r="A34" s="16" t="inlineStr">
        <is>
          <t>B033</t>
        </is>
      </c>
      <c r="B34" s="16" t="inlineStr">
        <is>
          <t>USD</t>
        </is>
      </c>
      <c r="C34" s="15" t="n">
        <v>0</v>
      </c>
      <c r="D34" s="15" t="n">
        <v>0</v>
      </c>
      <c r="E34" s="15" t="n">
        <v>0</v>
      </c>
      <c r="F34" s="15" t="n">
        <v>10000</v>
      </c>
      <c r="G34" s="15" t="n">
        <v>8449000</v>
      </c>
      <c r="H34" s="15" t="n">
        <v>3981000</v>
      </c>
      <c r="I34" s="15" t="n">
        <v>4962000</v>
      </c>
      <c r="J34" s="16" t="n"/>
      <c r="K34" s="16" t="n"/>
      <c r="L34" s="15" t="n">
        <v>21381000</v>
      </c>
      <c r="M34" s="16" t="n"/>
      <c r="N34" s="7" t="str">
        <f>IFERROR(VLOOKUP(TRIM(B34),'확인표_A'!$A$6:$B$14,2,FALSE),"확인 필요")</f>
        <v>USD</v>
      </c>
      <c r="O34" s="7">
        <f>SUMPRODUCT(--ISTEXT(C34:E34))</f>
        <v>0</v>
      </c>
      <c r="P34" s="7">
        <f>IF(OR(G34="",H34="",I34="",J34="",L34=""),1,0)</f>
        <v>1</v>
      </c>
      <c r="Q34" s="7">
        <f>IF(AND(J34&lt;&gt;"",J34&lt;=0),1,0)</f>
        <v>0</v>
      </c>
      <c r="R34" s="20">
        <f>IF(OR(G34="",H34=""),"",G34/H34)</f>
        <v>2.1223310725948252</v>
      </c>
      <c r="S34" s="20" t="str">
        <f>IF(OR(I34="",J34="",Q34=1),"",I34/J34)</f>
        <v/>
      </c>
      <c r="T34" s="23" t="str">
        <f>IF(OR(K34="",L34=""),"",K34/L34*365)</f>
        <v/>
      </c>
      <c r="U34" s="20" t="str">
        <f>IF(OR(M34="",L34=""),"",M34/L34)</f>
        <v/>
      </c>
      <c r="V34" s="8">
        <f>IF(ISTEXT(C34),"글자 섞임",ROUND(C34*VLOOKUP(N34,'환율_기준일'!$A$4:$E$7,5,FALSE)/'환율_기준일'!$E$4,2))</f>
        <v>0</v>
      </c>
      <c r="W34" s="7">
        <f>IF(ISNUMBER(V34),IF(V34&gt;F34*10,1,0),"")</f>
        <v>0</v>
      </c>
      <c r="X34" s="7" t="str">
        <f>IF(Q34=1,COUNTIF($Q$2:Q34,1),"")</f>
        <v/>
      </c>
    </row>
    <row r="35">
      <c r="A35" s="16" t="inlineStr">
        <is>
          <t>B034</t>
        </is>
      </c>
      <c r="B35" s="16" t="inlineStr">
        <is>
          <t>EUR</t>
        </is>
      </c>
      <c r="C35" s="16" t="inlineStr">
        <is>
          <t>200,520</t>
        </is>
      </c>
      <c r="D35" s="15" t="n">
        <v>200520</v>
      </c>
      <c r="E35" s="15" t="n">
        <v>0</v>
      </c>
      <c r="F35" s="15" t="n">
        <v>40000</v>
      </c>
      <c r="G35" s="15" t="n">
        <v>88454000</v>
      </c>
      <c r="H35" s="15" t="n">
        <v>40560000</v>
      </c>
      <c r="I35" s="15" t="n">
        <v>71233000</v>
      </c>
      <c r="J35" s="15" t="n">
        <v>174567000</v>
      </c>
      <c r="K35" s="15" t="n">
        <v>42666000</v>
      </c>
      <c r="L35" s="15" t="n">
        <v>359145000</v>
      </c>
      <c r="M35" s="15" t="n">
        <v>42510000</v>
      </c>
      <c r="N35" s="7" t="str">
        <f>IFERROR(VLOOKUP(TRIM(B35),'확인표_A'!$A$6:$B$14,2,FALSE),"확인 필요")</f>
        <v>EUR</v>
      </c>
      <c r="O35" s="7">
        <f>SUMPRODUCT(--ISTEXT(C35:E35))</f>
        <v>1</v>
      </c>
      <c r="P35" s="7">
        <f>IF(OR(G35="",H35="",I35="",J35="",L35=""),1,0)</f>
        <v>0</v>
      </c>
      <c r="Q35" s="7">
        <f>IF(AND(J35&lt;&gt;"",J35&lt;=0),1,0)</f>
        <v>0</v>
      </c>
      <c r="R35" s="20">
        <f>IF(OR(G35="",H35=""),"",G35/H35)</f>
        <v>2.180818540433925</v>
      </c>
      <c r="S35" s="20">
        <f>IF(OR(I35="",J35="",Q35=1),"",I35/J35)</f>
        <v>0.40805535983318725</v>
      </c>
      <c r="T35" s="23">
        <f>IF(OR(K35="",L35=""),"",K35/L35*365)</f>
        <v>43.36156705508917</v>
      </c>
      <c r="U35" s="20">
        <f>IF(OR(M35="",L35=""),"",M35/L35)</f>
        <v>0.11836444889946958</v>
      </c>
      <c r="V35" s="8" t="str">
        <f>IF(ISTEXT(C35),"글자 섞임",ROUND(C35*VLOOKUP(N35,'환율_기준일'!$A$4:$E$7,5,FALSE)/'환율_기준일'!$E$4,2))</f>
        <v>글자 섞임</v>
      </c>
      <c r="W35" s="7" t="str">
        <f>IF(ISNUMBER(V35),IF(V35&gt;F35*10,1,0),"")</f>
        <v/>
      </c>
      <c r="X35" s="7" t="str">
        <f>IF(Q35=1,COUNTIF($Q$2:Q35,1),"")</f>
        <v/>
      </c>
    </row>
    <row r="36">
      <c r="A36" s="16" t="inlineStr">
        <is>
          <t>B035</t>
        </is>
      </c>
      <c r="B36" s="16" t="inlineStr">
        <is>
          <t>US$</t>
        </is>
      </c>
      <c r="C36" s="15" t="n">
        <v>0</v>
      </c>
      <c r="D36" s="15" t="n">
        <v>0</v>
      </c>
      <c r="E36" s="15" t="n">
        <v>0</v>
      </c>
      <c r="F36" s="15" t="n">
        <v>10000</v>
      </c>
      <c r="G36" s="15" t="n">
        <v>8791000</v>
      </c>
      <c r="H36" s="16" t="n"/>
      <c r="I36" s="15" t="n">
        <v>10013000</v>
      </c>
      <c r="J36" s="15" t="n">
        <v>4693000</v>
      </c>
      <c r="K36" s="15" t="n">
        <v>3684000</v>
      </c>
      <c r="L36" s="15" t="n">
        <v>17999000</v>
      </c>
      <c r="M36" s="15" t="n">
        <v>-313000</v>
      </c>
      <c r="N36" s="7" t="str">
        <f>IFERROR(VLOOKUP(TRIM(B36),'확인표_A'!$A$6:$B$14,2,FALSE),"확인 필요")</f>
        <v>USD</v>
      </c>
      <c r="O36" s="7">
        <f>SUMPRODUCT(--ISTEXT(C36:E36))</f>
        <v>0</v>
      </c>
      <c r="P36" s="7">
        <f>IF(OR(G36="",H36="",I36="",J36="",L36=""),1,0)</f>
        <v>1</v>
      </c>
      <c r="Q36" s="7">
        <f>IF(AND(J36&lt;&gt;"",J36&lt;=0),1,0)</f>
        <v>0</v>
      </c>
      <c r="R36" s="20" t="str">
        <f>IF(OR(G36="",H36=""),"",G36/H36)</f>
        <v/>
      </c>
      <c r="S36" s="20">
        <f>IF(OR(I36="",J36="",Q36=1),"",I36/J36)</f>
        <v>2.133603238866397</v>
      </c>
      <c r="T36" s="23">
        <f>IF(OR(K36="",L36=""),"",K36/L36*365)</f>
        <v>74.70748374909718</v>
      </c>
      <c r="U36" s="20">
        <f>IF(OR(M36="",L36=""),"",M36/L36)</f>
        <v>-0.017389854991943995</v>
      </c>
      <c r="V36" s="8">
        <f>IF(ISTEXT(C36),"글자 섞임",ROUND(C36*VLOOKUP(N36,'환율_기준일'!$A$4:$E$7,5,FALSE)/'환율_기준일'!$E$4,2))</f>
        <v>0</v>
      </c>
      <c r="W36" s="7">
        <f>IF(ISNUMBER(V36),IF(V36&gt;F36*10,1,0),"")</f>
        <v>0</v>
      </c>
      <c r="X36" s="7" t="str">
        <f>IF(Q36=1,COUNTIF($Q$2:Q36,1),"")</f>
        <v/>
      </c>
    </row>
    <row r="37">
      <c r="A37" s="16" t="inlineStr">
        <is>
          <t>B036</t>
        </is>
      </c>
      <c r="B37" s="16" t="inlineStr">
        <is>
          <t>usd</t>
        </is>
      </c>
      <c r="C37" s="15" t="n">
        <v>0</v>
      </c>
      <c r="D37" s="15" t="n">
        <v>0</v>
      </c>
      <c r="E37" s="15" t="n">
        <v>0</v>
      </c>
      <c r="F37" s="15" t="n">
        <v>10000</v>
      </c>
      <c r="G37" s="16" t="n"/>
      <c r="H37" s="16" t="n"/>
      <c r="I37" s="16" t="n"/>
      <c r="J37" s="16" t="n"/>
      <c r="K37" s="16" t="n"/>
      <c r="L37" s="16" t="n"/>
      <c r="M37" s="16" t="n"/>
      <c r="N37" s="7" t="str">
        <f>IFERROR(VLOOKUP(TRIM(B37),'확인표_A'!$A$6:$B$14,2,FALSE),"확인 필요")</f>
        <v>USD</v>
      </c>
      <c r="O37" s="7">
        <f>SUMPRODUCT(--ISTEXT(C37:E37))</f>
        <v>0</v>
      </c>
      <c r="P37" s="7">
        <f>IF(OR(G37="",H37="",I37="",J37="",L37=""),1,0)</f>
        <v>1</v>
      </c>
      <c r="Q37" s="7">
        <f>IF(AND(J37&lt;&gt;"",J37&lt;=0),1,0)</f>
        <v>0</v>
      </c>
      <c r="R37" s="20" t="str">
        <f>IF(OR(G37="",H37=""),"",G37/H37)</f>
        <v/>
      </c>
      <c r="S37" s="20" t="str">
        <f>IF(OR(I37="",J37="",Q37=1),"",I37/J37)</f>
        <v/>
      </c>
      <c r="T37" s="23" t="str">
        <f>IF(OR(K37="",L37=""),"",K37/L37*365)</f>
        <v/>
      </c>
      <c r="U37" s="20" t="str">
        <f>IF(OR(M37="",L37=""),"",M37/L37)</f>
        <v/>
      </c>
      <c r="V37" s="8">
        <f>IF(ISTEXT(C37),"글자 섞임",ROUND(C37*VLOOKUP(N37,'환율_기준일'!$A$4:$E$7,5,FALSE)/'환율_기준일'!$E$4,2))</f>
        <v>0</v>
      </c>
      <c r="W37" s="7">
        <f>IF(ISNUMBER(V37),IF(V37&gt;F37*10,1,0),"")</f>
        <v>0</v>
      </c>
      <c r="X37" s="7" t="str">
        <f>IF(Q37=1,COUNTIF($Q$2:Q37,1),"")</f>
        <v/>
      </c>
    </row>
    <row r="38">
      <c r="A38" s="16" t="inlineStr">
        <is>
          <t>B037</t>
        </is>
      </c>
      <c r="B38" s="16" t="inlineStr">
        <is>
          <t>USD</t>
        </is>
      </c>
      <c r="C38" s="15" t="n">
        <v>8690</v>
      </c>
      <c r="D38" s="15" t="n">
        <v>8690</v>
      </c>
      <c r="E38" s="15" t="n">
        <v>0</v>
      </c>
      <c r="F38" s="15" t="n">
        <v>40000</v>
      </c>
      <c r="G38" s="15" t="n">
        <v>17218000</v>
      </c>
      <c r="H38" s="15" t="n">
        <v>23499000</v>
      </c>
      <c r="I38" s="15" t="n">
        <v>38705000</v>
      </c>
      <c r="J38" s="15" t="n">
        <v>39854000</v>
      </c>
      <c r="K38" s="15" t="n">
        <v>6499000</v>
      </c>
      <c r="L38" s="15" t="n">
        <v>47961000</v>
      </c>
      <c r="M38" s="15" t="n">
        <v>3790000</v>
      </c>
      <c r="N38" s="7" t="str">
        <f>IFERROR(VLOOKUP(TRIM(B38),'확인표_A'!$A$6:$B$14,2,FALSE),"확인 필요")</f>
        <v>USD</v>
      </c>
      <c r="O38" s="7">
        <f>SUMPRODUCT(--ISTEXT(C38:E38))</f>
        <v>0</v>
      </c>
      <c r="P38" s="7">
        <f>IF(OR(G38="",H38="",I38="",J38="",L38=""),1,0)</f>
        <v>0</v>
      </c>
      <c r="Q38" s="7">
        <f>IF(AND(J38&lt;&gt;"",J38&lt;=0),1,0)</f>
        <v>0</v>
      </c>
      <c r="R38" s="20">
        <f>IF(OR(G38="",H38=""),"",G38/H38)</f>
        <v>0.7327120302991617</v>
      </c>
      <c r="S38" s="20">
        <f>IF(OR(I38="",J38="",Q38=1),"",I38/J38)</f>
        <v>0.9711697696592563</v>
      </c>
      <c r="T38" s="23">
        <f>IF(OR(K38="",L38=""),"",K38/L38*365)</f>
        <v>49.459665144596656</v>
      </c>
      <c r="U38" s="20">
        <f>IF(OR(M38="",L38=""),"",M38/L38)</f>
        <v>0.07902253914638978</v>
      </c>
      <c r="V38" s="8">
        <f>IF(ISTEXT(C38),"글자 섞임",ROUND(C38*VLOOKUP(N38,'환율_기준일'!$A$4:$E$7,5,FALSE)/'환율_기준일'!$E$4,2))</f>
        <v>8690</v>
      </c>
      <c r="W38" s="7">
        <f>IF(ISNUMBER(V38),IF(V38&gt;F38*10,1,0),"")</f>
        <v>0</v>
      </c>
      <c r="X38" s="7" t="str">
        <f>IF(Q38=1,COUNTIF($Q$2:Q38,1),"")</f>
        <v/>
      </c>
    </row>
    <row r="39">
      <c r="A39" s="16" t="inlineStr">
        <is>
          <t>B038</t>
        </is>
      </c>
      <c r="B39" s="16" t="inlineStr">
        <is>
          <t>EUR</t>
        </is>
      </c>
      <c r="C39" s="15" t="n">
        <v>0</v>
      </c>
      <c r="D39" s="15" t="n">
        <v>0</v>
      </c>
      <c r="E39" s="15" t="n">
        <v>0</v>
      </c>
      <c r="F39" s="15" t="n">
        <v>10000</v>
      </c>
      <c r="G39" s="15" t="n">
        <v>4526000</v>
      </c>
      <c r="H39" s="15" t="n">
        <v>4302000</v>
      </c>
      <c r="I39" s="15" t="n">
        <v>5205000</v>
      </c>
      <c r="J39" s="15" t="n">
        <v>1129000</v>
      </c>
      <c r="K39" s="15" t="n">
        <v>1761000</v>
      </c>
      <c r="L39" s="15" t="n">
        <v>6552000</v>
      </c>
      <c r="M39" s="15" t="n">
        <v>-350000</v>
      </c>
      <c r="N39" s="7" t="str">
        <f>IFERROR(VLOOKUP(TRIM(B39),'확인표_A'!$A$6:$B$14,2,FALSE),"확인 필요")</f>
        <v>EUR</v>
      </c>
      <c r="O39" s="7">
        <f>SUMPRODUCT(--ISTEXT(C39:E39))</f>
        <v>0</v>
      </c>
      <c r="P39" s="7">
        <f>IF(OR(G39="",H39="",I39="",J39="",L39=""),1,0)</f>
        <v>0</v>
      </c>
      <c r="Q39" s="7">
        <f>IF(AND(J39&lt;&gt;"",J39&lt;=0),1,0)</f>
        <v>0</v>
      </c>
      <c r="R39" s="20">
        <f>IF(OR(G39="",H39=""),"",G39/H39)</f>
        <v>1.0520688052068805</v>
      </c>
      <c r="S39" s="20">
        <f>IF(OR(I39="",J39="",Q39=1),"",I39/J39)</f>
        <v>4.610274579273693</v>
      </c>
      <c r="T39" s="23">
        <f>IF(OR(K39="",L39=""),"",K39/L39*365)</f>
        <v>98.10210622710622</v>
      </c>
      <c r="U39" s="20">
        <f>IF(OR(M39="",L39=""),"",M39/L39)</f>
        <v>-0.053418803418803416</v>
      </c>
      <c r="V39" s="8">
        <f>IF(ISTEXT(C39),"글자 섞임",ROUND(C39*VLOOKUP(N39,'환율_기준일'!$A$4:$E$7,5,FALSE)/'환율_기준일'!$E$4,2))</f>
        <v>0</v>
      </c>
      <c r="W39" s="7">
        <f>IF(ISNUMBER(V39),IF(V39&gt;F39*10,1,0),"")</f>
        <v>0</v>
      </c>
      <c r="X39" s="7" t="str">
        <f>IF(Q39=1,COUNTIF($Q$2:Q39,1),"")</f>
        <v/>
      </c>
    </row>
    <row r="40">
      <c r="A40" s="16" t="inlineStr">
        <is>
          <t>B039</t>
        </is>
      </c>
      <c r="B40" s="16" t="inlineStr">
        <is>
          <t>USD</t>
        </is>
      </c>
      <c r="C40" s="15" t="n">
        <v>0</v>
      </c>
      <c r="D40" s="15" t="n">
        <v>0</v>
      </c>
      <c r="E40" s="15" t="n">
        <v>0</v>
      </c>
      <c r="F40" s="15" t="n">
        <v>10000</v>
      </c>
      <c r="G40" s="15" t="n">
        <v>3344000</v>
      </c>
      <c r="H40" s="15" t="n">
        <v>2615000</v>
      </c>
      <c r="I40" s="15" t="n">
        <v>4125000</v>
      </c>
      <c r="J40" s="15" t="n">
        <v>2017000</v>
      </c>
      <c r="K40" s="16" t="n"/>
      <c r="L40" s="15" t="n">
        <v>7402000</v>
      </c>
      <c r="M40" s="15" t="n">
        <v>500000</v>
      </c>
      <c r="N40" s="7" t="str">
        <f>IFERROR(VLOOKUP(TRIM(B40),'확인표_A'!$A$6:$B$14,2,FALSE),"확인 필요")</f>
        <v>USD</v>
      </c>
      <c r="O40" s="7">
        <f>SUMPRODUCT(--ISTEXT(C40:E40))</f>
        <v>0</v>
      </c>
      <c r="P40" s="7">
        <f>IF(OR(G40="",H40="",I40="",J40="",L40=""),1,0)</f>
        <v>0</v>
      </c>
      <c r="Q40" s="7">
        <f>IF(AND(J40&lt;&gt;"",J40&lt;=0),1,0)</f>
        <v>0</v>
      </c>
      <c r="R40" s="20">
        <f>IF(OR(G40="",H40=""),"",G40/H40)</f>
        <v>1.2787762906309752</v>
      </c>
      <c r="S40" s="20">
        <f>IF(OR(I40="",J40="",Q40=1),"",I40/J40)</f>
        <v>2.0451165096678237</v>
      </c>
      <c r="T40" s="23" t="str">
        <f>IF(OR(K40="",L40=""),"",K40/L40*365)</f>
        <v/>
      </c>
      <c r="U40" s="20">
        <f>IF(OR(M40="",L40=""),"",M40/L40)</f>
        <v>0.06754931099702784</v>
      </c>
      <c r="V40" s="8">
        <f>IF(ISTEXT(C40),"글자 섞임",ROUND(C40*VLOOKUP(N40,'환율_기준일'!$A$4:$E$7,5,FALSE)/'환율_기준일'!$E$4,2))</f>
        <v>0</v>
      </c>
      <c r="W40" s="7">
        <f>IF(ISNUMBER(V40),IF(V40&gt;F40*10,1,0),"")</f>
        <v>0</v>
      </c>
      <c r="X40" s="7" t="str">
        <f>IF(Q40=1,COUNTIF($Q$2:Q40,1),"")</f>
        <v/>
      </c>
    </row>
    <row r="41">
      <c r="A41" s="16" t="inlineStr">
        <is>
          <t>B040</t>
        </is>
      </c>
      <c r="B41" s="16" t="inlineStr">
        <is>
          <t>USD</t>
        </is>
      </c>
      <c r="C41" s="15" t="n">
        <v>77190</v>
      </c>
      <c r="D41" s="15" t="n">
        <v>77190</v>
      </c>
      <c r="E41" s="15" t="n">
        <v>0</v>
      </c>
      <c r="F41" s="15" t="n">
        <v>70000</v>
      </c>
      <c r="G41" s="15" t="n">
        <v>46470000</v>
      </c>
      <c r="H41" s="15" t="n">
        <v>31790000</v>
      </c>
      <c r="I41" s="15" t="n">
        <v>48613000</v>
      </c>
      <c r="J41" s="15" t="n">
        <v>19932000</v>
      </c>
      <c r="K41" s="15" t="n">
        <v>16638000</v>
      </c>
      <c r="L41" s="15" t="n">
        <v>64727000</v>
      </c>
      <c r="M41" s="16" t="n"/>
      <c r="N41" s="7" t="str">
        <f>IFERROR(VLOOKUP(TRIM(B41),'확인표_A'!$A$6:$B$14,2,FALSE),"확인 필요")</f>
        <v>USD</v>
      </c>
      <c r="O41" s="7">
        <f>SUMPRODUCT(--ISTEXT(C41:E41))</f>
        <v>0</v>
      </c>
      <c r="P41" s="7">
        <f>IF(OR(G41="",H41="",I41="",J41="",L41=""),1,0)</f>
        <v>0</v>
      </c>
      <c r="Q41" s="7">
        <f>IF(AND(J41&lt;&gt;"",J41&lt;=0),1,0)</f>
        <v>0</v>
      </c>
      <c r="R41" s="20">
        <f>IF(OR(G41="",H41=""),"",G41/H41)</f>
        <v>1.4617804340987732</v>
      </c>
      <c r="S41" s="20">
        <f>IF(OR(I41="",J41="",Q41=1),"",I41/J41)</f>
        <v>2.4389424041741923</v>
      </c>
      <c r="T41" s="23">
        <f>IF(OR(K41="",L41=""),"",K41/L41*365)</f>
        <v>93.82282509617315</v>
      </c>
      <c r="U41" s="20" t="str">
        <f>IF(OR(M41="",L41=""),"",M41/L41)</f>
        <v/>
      </c>
      <c r="V41" s="8">
        <f>IF(ISTEXT(C41),"글자 섞임",ROUND(C41*VLOOKUP(N41,'환율_기준일'!$A$4:$E$7,5,FALSE)/'환율_기준일'!$E$4,2))</f>
        <v>77190</v>
      </c>
      <c r="W41" s="7">
        <f>IF(ISNUMBER(V41),IF(V41&gt;F41*10,1,0),"")</f>
        <v>0</v>
      </c>
      <c r="X41" s="7" t="str">
        <f>IF(Q41=1,COUNTIF($Q$2:Q41,1),"")</f>
        <v/>
      </c>
    </row>
    <row r="42">
      <c r="A42" s="16" t="inlineStr">
        <is>
          <t>B041</t>
        </is>
      </c>
      <c r="B42" s="16" t="inlineStr">
        <is>
          <t>USD</t>
        </is>
      </c>
      <c r="C42" s="15" t="n">
        <v>25090</v>
      </c>
      <c r="D42" s="15" t="n">
        <v>25090</v>
      </c>
      <c r="E42" s="15" t="n">
        <v>0</v>
      </c>
      <c r="F42" s="15" t="n">
        <v>30000</v>
      </c>
      <c r="G42" s="15" t="n">
        <v>24375000</v>
      </c>
      <c r="H42" s="15" t="n">
        <v>18080000</v>
      </c>
      <c r="I42" s="15" t="n">
        <v>38834000</v>
      </c>
      <c r="J42" s="15" t="n">
        <v>7664000</v>
      </c>
      <c r="K42" s="15" t="n">
        <v>9640000</v>
      </c>
      <c r="L42" s="15" t="n">
        <v>48147000</v>
      </c>
      <c r="M42" s="15" t="n">
        <v>1402000</v>
      </c>
      <c r="N42" s="7" t="str">
        <f>IFERROR(VLOOKUP(TRIM(B42),'확인표_A'!$A$6:$B$14,2,FALSE),"확인 필요")</f>
        <v>USD</v>
      </c>
      <c r="O42" s="7">
        <f>SUMPRODUCT(--ISTEXT(C42:E42))</f>
        <v>0</v>
      </c>
      <c r="P42" s="7">
        <f>IF(OR(G42="",H42="",I42="",J42="",L42=""),1,0)</f>
        <v>0</v>
      </c>
      <c r="Q42" s="7">
        <f>IF(AND(J42&lt;&gt;"",J42&lt;=0),1,0)</f>
        <v>0</v>
      </c>
      <c r="R42" s="20">
        <f>IF(OR(G42="",H42=""),"",G42/H42)</f>
        <v>1.3481747787610618</v>
      </c>
      <c r="S42" s="20">
        <f>IF(OR(I42="",J42="",Q42=1),"",I42/J42)</f>
        <v>5.067066805845512</v>
      </c>
      <c r="T42" s="23">
        <f>IF(OR(K42="",L42=""),"",K42/L42*365)</f>
        <v>73.08035807007705</v>
      </c>
      <c r="U42" s="20">
        <f>IF(OR(M42="",L42=""),"",M42/L42)</f>
        <v>0.029119155918333438</v>
      </c>
      <c r="V42" s="8">
        <f>IF(ISTEXT(C42),"글자 섞임",ROUND(C42*VLOOKUP(N42,'환율_기준일'!$A$4:$E$7,5,FALSE)/'환율_기준일'!$E$4,2))</f>
        <v>25090</v>
      </c>
      <c r="W42" s="7">
        <f>IF(ISNUMBER(V42),IF(V42&gt;F42*10,1,0),"")</f>
        <v>0</v>
      </c>
      <c r="X42" s="7" t="str">
        <f>IF(Q42=1,COUNTIF($Q$2:Q42,1),"")</f>
        <v/>
      </c>
    </row>
    <row r="43">
      <c r="A43" s="16" t="inlineStr">
        <is>
          <t>B042</t>
        </is>
      </c>
      <c r="B43" s="16" t="inlineStr">
        <is>
          <t>USD</t>
        </is>
      </c>
      <c r="C43" s="15" t="n">
        <v>0</v>
      </c>
      <c r="D43" s="15" t="n">
        <v>0</v>
      </c>
      <c r="E43" s="15" t="n">
        <v>0</v>
      </c>
      <c r="F43" s="15" t="n">
        <v>10000</v>
      </c>
      <c r="G43" s="15" t="n">
        <v>4274000</v>
      </c>
      <c r="H43" s="16" t="n"/>
      <c r="I43" s="15" t="n">
        <v>6545000</v>
      </c>
      <c r="J43" s="16" t="n"/>
      <c r="K43" s="15" t="n">
        <v>1458000</v>
      </c>
      <c r="L43" s="15" t="n">
        <v>5456000</v>
      </c>
      <c r="M43" s="16" t="n"/>
      <c r="N43" s="7" t="str">
        <f>IFERROR(VLOOKUP(TRIM(B43),'확인표_A'!$A$6:$B$14,2,FALSE),"확인 필요")</f>
        <v>USD</v>
      </c>
      <c r="O43" s="7">
        <f>SUMPRODUCT(--ISTEXT(C43:E43))</f>
        <v>0</v>
      </c>
      <c r="P43" s="7">
        <f>IF(OR(G43="",H43="",I43="",J43="",L43=""),1,0)</f>
        <v>1</v>
      </c>
      <c r="Q43" s="7">
        <f>IF(AND(J43&lt;&gt;"",J43&lt;=0),1,0)</f>
        <v>0</v>
      </c>
      <c r="R43" s="20" t="str">
        <f>IF(OR(G43="",H43=""),"",G43/H43)</f>
        <v/>
      </c>
      <c r="S43" s="20" t="str">
        <f>IF(OR(I43="",J43="",Q43=1),"",I43/J43)</f>
        <v/>
      </c>
      <c r="T43" s="23">
        <f>IF(OR(K43="",L43=""),"",K43/L43*365)</f>
        <v>97.53848973607037</v>
      </c>
      <c r="U43" s="20" t="str">
        <f>IF(OR(M43="",L43=""),"",M43/L43)</f>
        <v/>
      </c>
      <c r="V43" s="8">
        <f>IF(ISTEXT(C43),"글자 섞임",ROUND(C43*VLOOKUP(N43,'환율_기준일'!$A$4:$E$7,5,FALSE)/'환율_기준일'!$E$4,2))</f>
        <v>0</v>
      </c>
      <c r="W43" s="7">
        <f>IF(ISNUMBER(V43),IF(V43&gt;F43*10,1,0),"")</f>
        <v>0</v>
      </c>
      <c r="X43" s="7" t="str">
        <f>IF(Q43=1,COUNTIF($Q$2:Q43,1),"")</f>
        <v/>
      </c>
    </row>
    <row r="44">
      <c r="A44" s="16" t="inlineStr">
        <is>
          <t>B043</t>
        </is>
      </c>
      <c r="B44" s="16" t="inlineStr">
        <is>
          <t>CNY</t>
        </is>
      </c>
      <c r="C44" s="16" t="inlineStr">
        <is>
          <t>155,200 CNY</t>
        </is>
      </c>
      <c r="D44" s="15" t="n">
        <v>155200</v>
      </c>
      <c r="E44" s="15" t="n">
        <v>0</v>
      </c>
      <c r="F44" s="15" t="n">
        <v>30000</v>
      </c>
      <c r="G44" s="15" t="n">
        <v>2730000</v>
      </c>
      <c r="H44" s="15" t="n">
        <v>2022000</v>
      </c>
      <c r="I44" s="15" t="n">
        <v>3876000</v>
      </c>
      <c r="J44" s="15" t="n">
        <v>5166000</v>
      </c>
      <c r="K44" s="15" t="n">
        <v>1383000</v>
      </c>
      <c r="L44" s="15" t="n">
        <v>7825000</v>
      </c>
      <c r="M44" s="15" t="n">
        <v>517000</v>
      </c>
      <c r="N44" s="7" t="str">
        <f>IFERROR(VLOOKUP(TRIM(B44),'확인표_A'!$A$6:$B$14,2,FALSE),"확인 필요")</f>
        <v>CNY</v>
      </c>
      <c r="O44" s="7">
        <f>SUMPRODUCT(--ISTEXT(C44:E44))</f>
        <v>1</v>
      </c>
      <c r="P44" s="7">
        <f>IF(OR(G44="",H44="",I44="",J44="",L44=""),1,0)</f>
        <v>0</v>
      </c>
      <c r="Q44" s="7">
        <f>IF(AND(J44&lt;&gt;"",J44&lt;=0),1,0)</f>
        <v>0</v>
      </c>
      <c r="R44" s="20">
        <f>IF(OR(G44="",H44=""),"",G44/H44)</f>
        <v>1.3501483679525224</v>
      </c>
      <c r="S44" s="20">
        <f>IF(OR(I44="",J44="",Q44=1),"",I44/J44)</f>
        <v>0.7502903600464577</v>
      </c>
      <c r="T44" s="23">
        <f>IF(OR(K44="",L44=""),"",K44/L44*365)</f>
        <v>64.51054313099041</v>
      </c>
      <c r="U44" s="20">
        <f>IF(OR(M44="",L44=""),"",M44/L44)</f>
        <v>0.0660702875399361</v>
      </c>
      <c r="V44" s="8" t="str">
        <f>IF(ISTEXT(C44),"글자 섞임",ROUND(C44*VLOOKUP(N44,'환율_기준일'!$A$4:$E$7,5,FALSE)/'환율_기준일'!$E$4,2))</f>
        <v>글자 섞임</v>
      </c>
      <c r="W44" s="7" t="str">
        <f>IF(ISNUMBER(V44),IF(V44&gt;F44*10,1,0),"")</f>
        <v/>
      </c>
      <c r="X44" s="7" t="str">
        <f>IF(Q44=1,COUNTIF($Q$2:Q44,1),"")</f>
        <v/>
      </c>
    </row>
    <row r="45">
      <c r="A45" s="16" t="inlineStr">
        <is>
          <t>B044</t>
        </is>
      </c>
      <c r="B45" s="16" t="inlineStr">
        <is>
          <t>USD</t>
        </is>
      </c>
      <c r="C45" s="15" t="n">
        <v>13330</v>
      </c>
      <c r="D45" s="15" t="n">
        <v>0</v>
      </c>
      <c r="E45" s="15" t="n">
        <v>0</v>
      </c>
      <c r="F45" s="15" t="n">
        <v>10000</v>
      </c>
      <c r="G45" s="15" t="n">
        <v>8357000</v>
      </c>
      <c r="H45" s="16" t="n"/>
      <c r="I45" s="15" t="n">
        <v>16194000</v>
      </c>
      <c r="J45" s="16" t="n"/>
      <c r="K45" s="15" t="n">
        <v>4377000</v>
      </c>
      <c r="L45" s="15" t="n">
        <v>12956000</v>
      </c>
      <c r="M45" s="15" t="n">
        <v>5000</v>
      </c>
      <c r="N45" s="7" t="str">
        <f>IFERROR(VLOOKUP(TRIM(B45),'확인표_A'!$A$6:$B$14,2,FALSE),"확인 필요")</f>
        <v>USD</v>
      </c>
      <c r="O45" s="7">
        <f>SUMPRODUCT(--ISTEXT(C45:E45))</f>
        <v>0</v>
      </c>
      <c r="P45" s="7">
        <f>IF(OR(G45="",H45="",I45="",J45="",L45=""),1,0)</f>
        <v>1</v>
      </c>
      <c r="Q45" s="7">
        <f>IF(AND(J45&lt;&gt;"",J45&lt;=0),1,0)</f>
        <v>0</v>
      </c>
      <c r="R45" s="20" t="str">
        <f>IF(OR(G45="",H45=""),"",G45/H45)</f>
        <v/>
      </c>
      <c r="S45" s="20" t="str">
        <f>IF(OR(I45="",J45="",Q45=1),"",I45/J45)</f>
        <v/>
      </c>
      <c r="T45" s="23">
        <f>IF(OR(K45="",L45=""),"",K45/L45*365)</f>
        <v>123.31004939796233</v>
      </c>
      <c r="U45" s="20">
        <f>IF(OR(M45="",L45=""),"",M45/L45)</f>
        <v>0.0003859215807347947</v>
      </c>
      <c r="V45" s="8">
        <f>IF(ISTEXT(C45),"글자 섞임",ROUND(C45*VLOOKUP(N45,'환율_기준일'!$A$4:$E$7,5,FALSE)/'환율_기준일'!$E$4,2))</f>
        <v>13330</v>
      </c>
      <c r="W45" s="7">
        <f>IF(ISNUMBER(V45),IF(V45&gt;F45*10,1,0),"")</f>
        <v>0</v>
      </c>
      <c r="X45" s="7" t="str">
        <f>IF(Q45=1,COUNTIF($Q$2:Q45,1),"")</f>
        <v/>
      </c>
    </row>
    <row r="46">
      <c r="A46" s="16" t="inlineStr">
        <is>
          <t>B045</t>
        </is>
      </c>
      <c r="B46" s="16" t="inlineStr">
        <is>
          <t>USD</t>
        </is>
      </c>
      <c r="C46" s="15" t="n">
        <v>11050</v>
      </c>
      <c r="D46" s="15" t="n">
        <v>11050</v>
      </c>
      <c r="E46" s="15" t="n">
        <v>0</v>
      </c>
      <c r="F46" s="15" t="n">
        <v>10000</v>
      </c>
      <c r="G46" s="15" t="n">
        <v>5869000</v>
      </c>
      <c r="H46" s="15" t="n">
        <v>4961000</v>
      </c>
      <c r="I46" s="15" t="n">
        <v>7032000</v>
      </c>
      <c r="J46" s="15" t="n">
        <v>6331000</v>
      </c>
      <c r="K46" s="15" t="n">
        <v>2418000</v>
      </c>
      <c r="L46" s="15" t="n">
        <v>14928000</v>
      </c>
      <c r="M46" s="16" t="n"/>
      <c r="N46" s="7" t="str">
        <f>IFERROR(VLOOKUP(TRIM(B46),'확인표_A'!$A$6:$B$14,2,FALSE),"확인 필요")</f>
        <v>USD</v>
      </c>
      <c r="O46" s="7">
        <f>SUMPRODUCT(--ISTEXT(C46:E46))</f>
        <v>0</v>
      </c>
      <c r="P46" s="7">
        <f>IF(OR(G46="",H46="",I46="",J46="",L46=""),1,0)</f>
        <v>0</v>
      </c>
      <c r="Q46" s="7">
        <f>IF(AND(J46&lt;&gt;"",J46&lt;=0),1,0)</f>
        <v>0</v>
      </c>
      <c r="R46" s="20">
        <f>IF(OR(G46="",H46=""),"",G46/H46)</f>
        <v>1.183027615400121</v>
      </c>
      <c r="S46" s="20">
        <f>IF(OR(I46="",J46="",Q46=1),"",I46/J46)</f>
        <v>1.1107250039488232</v>
      </c>
      <c r="T46" s="23">
        <f>IF(OR(K46="",L46=""),"",K46/L46*365)</f>
        <v>59.12178456591639</v>
      </c>
      <c r="U46" s="20" t="str">
        <f>IF(OR(M46="",L46=""),"",M46/L46)</f>
        <v/>
      </c>
      <c r="V46" s="8">
        <f>IF(ISTEXT(C46),"글자 섞임",ROUND(C46*VLOOKUP(N46,'환율_기준일'!$A$4:$E$7,5,FALSE)/'환율_기준일'!$E$4,2))</f>
        <v>11050</v>
      </c>
      <c r="W46" s="7">
        <f>IF(ISNUMBER(V46),IF(V46&gt;F46*10,1,0),"")</f>
        <v>0</v>
      </c>
      <c r="X46" s="7" t="str">
        <f>IF(Q46=1,COUNTIF($Q$2:Q46,1),"")</f>
        <v/>
      </c>
    </row>
    <row r="47">
      <c r="A47" s="16" t="inlineStr">
        <is>
          <t>B046</t>
        </is>
      </c>
      <c r="B47" s="16" t="inlineStr">
        <is>
          <t>US$</t>
        </is>
      </c>
      <c r="C47" s="15" t="n">
        <v>0</v>
      </c>
      <c r="D47" s="15" t="n">
        <v>0</v>
      </c>
      <c r="E47" s="15" t="n">
        <v>0</v>
      </c>
      <c r="F47" s="15" t="n">
        <v>20000</v>
      </c>
      <c r="G47" s="15" t="n">
        <v>65302000</v>
      </c>
      <c r="H47" s="15" t="n">
        <v>43040000</v>
      </c>
      <c r="I47" s="15" t="n">
        <v>85553000</v>
      </c>
      <c r="J47" s="15" t="n">
        <v>224995000</v>
      </c>
      <c r="K47" s="15" t="n">
        <v>26061000</v>
      </c>
      <c r="L47" s="15" t="n">
        <v>256707000</v>
      </c>
      <c r="M47" s="15" t="n">
        <v>24498000</v>
      </c>
      <c r="N47" s="7" t="str">
        <f>IFERROR(VLOOKUP(TRIM(B47),'확인표_A'!$A$6:$B$14,2,FALSE),"확인 필요")</f>
        <v>USD</v>
      </c>
      <c r="O47" s="7">
        <f>SUMPRODUCT(--ISTEXT(C47:E47))</f>
        <v>0</v>
      </c>
      <c r="P47" s="7">
        <f>IF(OR(G47="",H47="",I47="",J47="",L47=""),1,0)</f>
        <v>0</v>
      </c>
      <c r="Q47" s="7">
        <f>IF(AND(J47&lt;&gt;"",J47&lt;=0),1,0)</f>
        <v>0</v>
      </c>
      <c r="R47" s="20">
        <f>IF(OR(G47="",H47=""),"",G47/H47)</f>
        <v>1.5172397769516728</v>
      </c>
      <c r="S47" s="20">
        <f>IF(OR(I47="",J47="",Q47=1),"",I47/J47)</f>
        <v>0.3802440054223427</v>
      </c>
      <c r="T47" s="23">
        <f>IF(OR(K47="",L47=""),"",K47/L47*365)</f>
        <v>37.05494980658884</v>
      </c>
      <c r="U47" s="20">
        <f>IF(OR(M47="",L47=""),"",M47/L47)</f>
        <v>0.09543175682782316</v>
      </c>
      <c r="V47" s="8">
        <f>IF(ISTEXT(C47),"글자 섞임",ROUND(C47*VLOOKUP(N47,'환율_기준일'!$A$4:$E$7,5,FALSE)/'환율_기준일'!$E$4,2))</f>
        <v>0</v>
      </c>
      <c r="W47" s="7">
        <f>IF(ISNUMBER(V47),IF(V47&gt;F47*10,1,0),"")</f>
        <v>0</v>
      </c>
      <c r="X47" s="7" t="str">
        <f>IF(Q47=1,COUNTIF($Q$2:Q47,1),"")</f>
        <v/>
      </c>
    </row>
    <row r="48">
      <c r="A48" s="16" t="inlineStr">
        <is>
          <t>B047</t>
        </is>
      </c>
      <c r="B48" s="16" t="inlineStr">
        <is>
          <t>usd</t>
        </is>
      </c>
      <c r="C48" s="15" t="n">
        <v>51270</v>
      </c>
      <c r="D48" s="15" t="n">
        <v>31470</v>
      </c>
      <c r="E48" s="15" t="n">
        <v>19800</v>
      </c>
      <c r="F48" s="15" t="n">
        <v>50000</v>
      </c>
      <c r="G48" s="16" t="n"/>
      <c r="H48" s="16" t="n"/>
      <c r="I48" s="16" t="n"/>
      <c r="J48" s="16" t="n"/>
      <c r="K48" s="16" t="n"/>
      <c r="L48" s="16" t="n"/>
      <c r="M48" s="16" t="n"/>
      <c r="N48" s="7" t="str">
        <f>IFERROR(VLOOKUP(TRIM(B48),'확인표_A'!$A$6:$B$14,2,FALSE),"확인 필요")</f>
        <v>USD</v>
      </c>
      <c r="O48" s="7">
        <f>SUMPRODUCT(--ISTEXT(C48:E48))</f>
        <v>0</v>
      </c>
      <c r="P48" s="7">
        <f>IF(OR(G48="",H48="",I48="",J48="",L48=""),1,0)</f>
        <v>1</v>
      </c>
      <c r="Q48" s="7">
        <f>IF(AND(J48&lt;&gt;"",J48&lt;=0),1,0)</f>
        <v>0</v>
      </c>
      <c r="R48" s="20" t="str">
        <f>IF(OR(G48="",H48=""),"",G48/H48)</f>
        <v/>
      </c>
      <c r="S48" s="20" t="str">
        <f>IF(OR(I48="",J48="",Q48=1),"",I48/J48)</f>
        <v/>
      </c>
      <c r="T48" s="23" t="str">
        <f>IF(OR(K48="",L48=""),"",K48/L48*365)</f>
        <v/>
      </c>
      <c r="U48" s="20" t="str">
        <f>IF(OR(M48="",L48=""),"",M48/L48)</f>
        <v/>
      </c>
      <c r="V48" s="8">
        <f>IF(ISTEXT(C48),"글자 섞임",ROUND(C48*VLOOKUP(N48,'환율_기준일'!$A$4:$E$7,5,FALSE)/'환율_기준일'!$E$4,2))</f>
        <v>51270</v>
      </c>
      <c r="W48" s="7">
        <f>IF(ISNUMBER(V48),IF(V48&gt;F48*10,1,0),"")</f>
        <v>0</v>
      </c>
      <c r="X48" s="7" t="str">
        <f>IF(Q48=1,COUNTIF($Q$2:Q48,1),"")</f>
        <v/>
      </c>
    </row>
    <row r="49">
      <c r="A49" s="16" t="inlineStr">
        <is>
          <t>B048</t>
        </is>
      </c>
      <c r="B49" s="16" t="inlineStr">
        <is>
          <t>US$</t>
        </is>
      </c>
      <c r="C49" s="15" t="n">
        <v>24530</v>
      </c>
      <c r="D49" s="15" t="n">
        <v>0</v>
      </c>
      <c r="E49" s="15" t="n">
        <v>15810</v>
      </c>
      <c r="F49" s="15" t="n">
        <v>10000</v>
      </c>
      <c r="G49" s="15" t="n">
        <v>34935000</v>
      </c>
      <c r="H49" s="15" t="n">
        <v>97042000</v>
      </c>
      <c r="I49" s="15" t="n">
        <v>160609000</v>
      </c>
      <c r="J49" s="15" t="n">
        <v>-37662000</v>
      </c>
      <c r="K49" s="15" t="n">
        <v>13733000</v>
      </c>
      <c r="L49" s="15" t="n">
        <v>58284000</v>
      </c>
      <c r="M49" s="15" t="n">
        <v>-13770000</v>
      </c>
      <c r="N49" s="7" t="str">
        <f>IFERROR(VLOOKUP(TRIM(B49),'확인표_A'!$A$6:$B$14,2,FALSE),"확인 필요")</f>
        <v>USD</v>
      </c>
      <c r="O49" s="7">
        <f>SUMPRODUCT(--ISTEXT(C49:E49))</f>
        <v>0</v>
      </c>
      <c r="P49" s="7">
        <f>IF(OR(G49="",H49="",I49="",J49="",L49=""),1,0)</f>
        <v>0</v>
      </c>
      <c r="Q49" s="7">
        <f>IF(AND(J49&lt;&gt;"",J49&lt;=0),1,0)</f>
        <v>1</v>
      </c>
      <c r="R49" s="20">
        <f>IF(OR(G49="",H49=""),"",G49/H49)</f>
        <v>0.35999876342202347</v>
      </c>
      <c r="S49" s="20" t="str">
        <f>IF(OR(I49="",J49="",Q49=1),"",I49/J49)</f>
        <v/>
      </c>
      <c r="T49" s="23">
        <f>IF(OR(K49="",L49=""),"",K49/L49*365)</f>
        <v>86.0020760414522</v>
      </c>
      <c r="U49" s="20">
        <f>IF(OR(M49="",L49=""),"",M49/L49)</f>
        <v>-0.23625694873378628</v>
      </c>
      <c r="V49" s="8">
        <f>IF(ISTEXT(C49),"글자 섞임",ROUND(C49*VLOOKUP(N49,'환율_기준일'!$A$4:$E$7,5,FALSE)/'환율_기준일'!$E$4,2))</f>
        <v>24530</v>
      </c>
      <c r="W49" s="7">
        <f>IF(ISNUMBER(V49),IF(V49&gt;F49*10,1,0),"")</f>
        <v>0</v>
      </c>
      <c r="X49" s="7">
        <f>IF(Q49=1,COUNTIF($Q$2:Q49,1),"")</f>
        <v>2</v>
      </c>
    </row>
    <row r="50">
      <c r="A50" s="16" t="inlineStr">
        <is>
          <t>B049</t>
        </is>
      </c>
      <c r="B50" s="16" t="inlineStr">
        <is>
          <t>USD</t>
        </is>
      </c>
      <c r="C50" s="15" t="n">
        <v>42030</v>
      </c>
      <c r="D50" s="15" t="n">
        <v>32390</v>
      </c>
      <c r="E50" s="15" t="n">
        <v>0</v>
      </c>
      <c r="F50" s="15" t="n">
        <v>70000</v>
      </c>
      <c r="G50" s="15" t="n">
        <v>127186000</v>
      </c>
      <c r="H50" s="15" t="n">
        <v>97231000</v>
      </c>
      <c r="I50" s="15" t="n">
        <v>196502000</v>
      </c>
      <c r="J50" s="15" t="n">
        <v>67789000</v>
      </c>
      <c r="K50" s="15" t="n">
        <v>52832000</v>
      </c>
      <c r="L50" s="15" t="n">
        <v>290244000</v>
      </c>
      <c r="M50" s="15" t="n">
        <v>11244000</v>
      </c>
      <c r="N50" s="7" t="str">
        <f>IFERROR(VLOOKUP(TRIM(B50),'확인표_A'!$A$6:$B$14,2,FALSE),"확인 필요")</f>
        <v>USD</v>
      </c>
      <c r="O50" s="7">
        <f>SUMPRODUCT(--ISTEXT(C50:E50))</f>
        <v>0</v>
      </c>
      <c r="P50" s="7">
        <f>IF(OR(G50="",H50="",I50="",J50="",L50=""),1,0)</f>
        <v>0</v>
      </c>
      <c r="Q50" s="7">
        <f>IF(AND(J50&lt;&gt;"",J50&lt;=0),1,0)</f>
        <v>0</v>
      </c>
      <c r="R50" s="20">
        <f>IF(OR(G50="",H50=""),"",G50/H50)</f>
        <v>1.308080756137446</v>
      </c>
      <c r="S50" s="20">
        <f>IF(OR(I50="",J50="",Q50=1),"",I50/J50)</f>
        <v>2.898729882429303</v>
      </c>
      <c r="T50" s="23">
        <f>IF(OR(K50="",L50=""),"",K50/L50*365)</f>
        <v>66.43954741527818</v>
      </c>
      <c r="U50" s="20">
        <f>IF(OR(M50="",L50=""),"",M50/L50)</f>
        <v>0.03873981891098524</v>
      </c>
      <c r="V50" s="8">
        <f>IF(ISTEXT(C50),"글자 섞임",ROUND(C50*VLOOKUP(N50,'환율_기준일'!$A$4:$E$7,5,FALSE)/'환율_기준일'!$E$4,2))</f>
        <v>42030</v>
      </c>
      <c r="W50" s="7">
        <f>IF(ISNUMBER(V50),IF(V50&gt;F50*10,1,0),"")</f>
        <v>0</v>
      </c>
      <c r="X50" s="7" t="str">
        <f>IF(Q50=1,COUNTIF($Q$2:Q50,1),"")</f>
        <v/>
      </c>
    </row>
    <row r="51">
      <c r="A51" s="16" t="inlineStr">
        <is>
          <t>B050</t>
        </is>
      </c>
      <c r="B51" s="16" t="inlineStr">
        <is>
          <t>USD</t>
        </is>
      </c>
      <c r="C51" s="15" t="n">
        <v>101210</v>
      </c>
      <c r="D51" s="15" t="n">
        <v>101210</v>
      </c>
      <c r="E51" s="15" t="n">
        <v>0</v>
      </c>
      <c r="F51" s="15" t="n">
        <v>80000</v>
      </c>
      <c r="G51" s="15" t="n">
        <v>17668000</v>
      </c>
      <c r="H51" s="15" t="n">
        <v>9162000</v>
      </c>
      <c r="I51" s="15" t="n">
        <v>14251000</v>
      </c>
      <c r="J51" s="15" t="n">
        <v>10072000</v>
      </c>
      <c r="K51" s="15" t="n">
        <v>6208000</v>
      </c>
      <c r="L51" s="15" t="n">
        <v>36022000</v>
      </c>
      <c r="M51" s="15" t="n">
        <v>2538000</v>
      </c>
      <c r="N51" s="7" t="str">
        <f>IFERROR(VLOOKUP(TRIM(B51),'확인표_A'!$A$6:$B$14,2,FALSE),"확인 필요")</f>
        <v>USD</v>
      </c>
      <c r="O51" s="7">
        <f>SUMPRODUCT(--ISTEXT(C51:E51))</f>
        <v>0</v>
      </c>
      <c r="P51" s="7">
        <f>IF(OR(G51="",H51="",I51="",J51="",L51=""),1,0)</f>
        <v>0</v>
      </c>
      <c r="Q51" s="7">
        <f>IF(AND(J51&lt;&gt;"",J51&lt;=0),1,0)</f>
        <v>0</v>
      </c>
      <c r="R51" s="20">
        <f>IF(OR(G51="",H51=""),"",G51/H51)</f>
        <v>1.9283999126828204</v>
      </c>
      <c r="S51" s="20">
        <f>IF(OR(I51="",J51="",Q51=1),"",I51/J51)</f>
        <v>1.414912629070691</v>
      </c>
      <c r="T51" s="23">
        <f>IF(OR(K51="",L51=""),"",K51/L51*365)</f>
        <v>62.903781022708344</v>
      </c>
      <c r="U51" s="20">
        <f>IF(OR(M51="",L51=""),"",M51/L51)</f>
        <v>0.07045694297929044</v>
      </c>
      <c r="V51" s="8">
        <f>IF(ISTEXT(C51),"글자 섞임",ROUND(C51*VLOOKUP(N51,'환율_기준일'!$A$4:$E$7,5,FALSE)/'환율_기준일'!$E$4,2))</f>
        <v>101210</v>
      </c>
      <c r="W51" s="7">
        <f>IF(ISNUMBER(V51),IF(V51&gt;F51*10,1,0),"")</f>
        <v>0</v>
      </c>
      <c r="X51" s="7" t="str">
        <f>IF(Q51=1,COUNTIF($Q$2:Q51,1),"")</f>
        <v/>
      </c>
    </row>
    <row r="52">
      <c r="A52" s="16" t="inlineStr">
        <is>
          <t>B051</t>
        </is>
      </c>
      <c r="B52" s="16" t="inlineStr">
        <is>
          <t>usd</t>
        </is>
      </c>
      <c r="C52" s="15" t="n">
        <v>14310</v>
      </c>
      <c r="D52" s="15" t="n">
        <v>14310</v>
      </c>
      <c r="E52" s="15" t="n">
        <v>0</v>
      </c>
      <c r="F52" s="15" t="n">
        <v>60000</v>
      </c>
      <c r="G52" s="15" t="n">
        <v>35902000</v>
      </c>
      <c r="H52" s="15" t="n">
        <v>23801000</v>
      </c>
      <c r="I52" s="15" t="n">
        <v>34426000</v>
      </c>
      <c r="J52" s="15" t="n">
        <v>25533000</v>
      </c>
      <c r="K52" s="15" t="n">
        <v>18314000</v>
      </c>
      <c r="L52" s="15" t="n">
        <v>102155000</v>
      </c>
      <c r="M52" s="15" t="n">
        <v>7875000</v>
      </c>
      <c r="N52" s="7" t="str">
        <f>IFERROR(VLOOKUP(TRIM(B52),'확인표_A'!$A$6:$B$14,2,FALSE),"확인 필요")</f>
        <v>USD</v>
      </c>
      <c r="O52" s="7">
        <f>SUMPRODUCT(--ISTEXT(C52:E52))</f>
        <v>0</v>
      </c>
      <c r="P52" s="7">
        <f>IF(OR(G52="",H52="",I52="",J52="",L52=""),1,0)</f>
        <v>0</v>
      </c>
      <c r="Q52" s="7">
        <f>IF(AND(J52&lt;&gt;"",J52&lt;=0),1,0)</f>
        <v>0</v>
      </c>
      <c r="R52" s="20">
        <f>IF(OR(G52="",H52=""),"",G52/H52)</f>
        <v>1.5084240157976556</v>
      </c>
      <c r="S52" s="20">
        <f>IF(OR(I52="",J52="",Q52=1),"",I52/J52)</f>
        <v>1.34829436415619</v>
      </c>
      <c r="T52" s="23">
        <f>IF(OR(K52="",L52=""),"",K52/L52*365)</f>
        <v>65.43595516616905</v>
      </c>
      <c r="U52" s="20">
        <f>IF(OR(M52="",L52=""),"",M52/L52)</f>
        <v>0.07708873770251089</v>
      </c>
      <c r="V52" s="8">
        <f>IF(ISTEXT(C52),"글자 섞임",ROUND(C52*VLOOKUP(N52,'환율_기준일'!$A$4:$E$7,5,FALSE)/'환율_기준일'!$E$4,2))</f>
        <v>14310</v>
      </c>
      <c r="W52" s="7">
        <f>IF(ISNUMBER(V52),IF(V52&gt;F52*10,1,0),"")</f>
        <v>0</v>
      </c>
      <c r="X52" s="7" t="str">
        <f>IF(Q52=1,COUNTIF($Q$2:Q52,1),"")</f>
        <v/>
      </c>
    </row>
    <row r="53">
      <c r="A53" s="16" t="inlineStr">
        <is>
          <t>B052</t>
        </is>
      </c>
      <c r="B53" s="16" t="inlineStr">
        <is>
          <t>US$</t>
        </is>
      </c>
      <c r="C53" s="15" t="n">
        <v>0</v>
      </c>
      <c r="D53" s="15" t="n">
        <v>0</v>
      </c>
      <c r="E53" s="15" t="n">
        <v>0</v>
      </c>
      <c r="F53" s="15" t="n">
        <v>10000</v>
      </c>
      <c r="G53" s="15" t="n">
        <v>77572000</v>
      </c>
      <c r="H53" s="15" t="n">
        <v>57868000</v>
      </c>
      <c r="I53" s="15" t="n">
        <v>87706000</v>
      </c>
      <c r="J53" s="15" t="n">
        <v>38837000</v>
      </c>
      <c r="K53" s="15" t="n">
        <v>27946000</v>
      </c>
      <c r="L53" s="15" t="n">
        <v>167235000</v>
      </c>
      <c r="M53" s="15" t="n">
        <v>17161000</v>
      </c>
      <c r="N53" s="7" t="str">
        <f>IFERROR(VLOOKUP(TRIM(B53),'확인표_A'!$A$6:$B$14,2,FALSE),"확인 필요")</f>
        <v>USD</v>
      </c>
      <c r="O53" s="7">
        <f>SUMPRODUCT(--ISTEXT(C53:E53))</f>
        <v>0</v>
      </c>
      <c r="P53" s="7">
        <f>IF(OR(G53="",H53="",I53="",J53="",L53=""),1,0)</f>
        <v>0</v>
      </c>
      <c r="Q53" s="7">
        <f>IF(AND(J53&lt;&gt;"",J53&lt;=0),1,0)</f>
        <v>0</v>
      </c>
      <c r="R53" s="20">
        <f>IF(OR(G53="",H53=""),"",G53/H53)</f>
        <v>1.3404990668417778</v>
      </c>
      <c r="S53" s="20">
        <f>IF(OR(I53="",J53="",Q53=1),"",I53/J53)</f>
        <v>2.2583103741277646</v>
      </c>
      <c r="T53" s="23">
        <f>IF(OR(K53="",L53=""),"",K53/L53*365)</f>
        <v>60.993751308039585</v>
      </c>
      <c r="U53" s="20">
        <f>IF(OR(M53="",L53=""),"",M53/L53)</f>
        <v>0.1026160791700302</v>
      </c>
      <c r="V53" s="8">
        <f>IF(ISTEXT(C53),"글자 섞임",ROUND(C53*VLOOKUP(N53,'환율_기준일'!$A$4:$E$7,5,FALSE)/'환율_기준일'!$E$4,2))</f>
        <v>0</v>
      </c>
      <c r="W53" s="7">
        <f>IF(ISNUMBER(V53),IF(V53&gt;F53*10,1,0),"")</f>
        <v>0</v>
      </c>
      <c r="X53" s="7" t="str">
        <f>IF(Q53=1,COUNTIF($Q$2:Q53,1),"")</f>
        <v/>
      </c>
    </row>
    <row r="54">
      <c r="A54" s="16" t="inlineStr">
        <is>
          <t>B053</t>
        </is>
      </c>
      <c r="B54" s="16" t="inlineStr">
        <is>
          <t>EUR</t>
        </is>
      </c>
      <c r="C54" s="15" t="n">
        <v>18450</v>
      </c>
      <c r="D54" s="15" t="n">
        <v>18450</v>
      </c>
      <c r="E54" s="15" t="n">
        <v>0</v>
      </c>
      <c r="F54" s="15" t="n">
        <v>40000</v>
      </c>
      <c r="G54" s="15" t="n">
        <v>113245000</v>
      </c>
      <c r="H54" s="15" t="n">
        <v>77473000</v>
      </c>
      <c r="I54" s="15" t="n">
        <v>96619000</v>
      </c>
      <c r="J54" s="15" t="n">
        <v>37613000</v>
      </c>
      <c r="K54" s="15" t="n">
        <v>57614000</v>
      </c>
      <c r="L54" s="15" t="n">
        <v>258078000</v>
      </c>
      <c r="M54" s="15" t="n">
        <v>8990000</v>
      </c>
      <c r="N54" s="7" t="str">
        <f>IFERROR(VLOOKUP(TRIM(B54),'확인표_A'!$A$6:$B$14,2,FALSE),"확인 필요")</f>
        <v>EUR</v>
      </c>
      <c r="O54" s="7">
        <f>SUMPRODUCT(--ISTEXT(C54:E54))</f>
        <v>0</v>
      </c>
      <c r="P54" s="7">
        <f>IF(OR(G54="",H54="",I54="",J54="",L54=""),1,0)</f>
        <v>0</v>
      </c>
      <c r="Q54" s="7">
        <f>IF(AND(J54&lt;&gt;"",J54&lt;=0),1,0)</f>
        <v>0</v>
      </c>
      <c r="R54" s="20">
        <f>IF(OR(G54="",H54=""),"",G54/H54)</f>
        <v>1.4617350560840552</v>
      </c>
      <c r="S54" s="20">
        <f>IF(OR(I54="",J54="",Q54=1),"",I54/J54)</f>
        <v>2.568766118097466</v>
      </c>
      <c r="T54" s="23">
        <f>IF(OR(K54="",L54=""),"",K54/L54*365)</f>
        <v>81.48354373483986</v>
      </c>
      <c r="U54" s="20">
        <f>IF(OR(M54="",L54=""),"",M54/L54)</f>
        <v>0.03483442990103767</v>
      </c>
      <c r="V54" s="8">
        <f>IF(ISTEXT(C54),"글자 섞임",ROUND(C54*VLOOKUP(N54,'환율_기준일'!$A$4:$E$7,5,FALSE)/'환율_기준일'!$E$4,2))</f>
        <v>21433.42</v>
      </c>
      <c r="W54" s="7">
        <f>IF(ISNUMBER(V54),IF(V54&gt;F54*10,1,0),"")</f>
        <v>0</v>
      </c>
      <c r="X54" s="7" t="str">
        <f>IF(Q54=1,COUNTIF($Q$2:Q54,1),"")</f>
        <v/>
      </c>
    </row>
    <row r="55">
      <c r="A55" s="16" t="inlineStr">
        <is>
          <t>B054</t>
        </is>
      </c>
      <c r="B55" s="16" t="inlineStr">
        <is>
          <t>euro</t>
        </is>
      </c>
      <c r="C55" s="15" t="n">
        <v>0</v>
      </c>
      <c r="D55" s="15" t="n">
        <v>0</v>
      </c>
      <c r="E55" s="15" t="n">
        <v>0</v>
      </c>
      <c r="F55" s="15" t="n">
        <v>40000</v>
      </c>
      <c r="G55" s="15" t="n">
        <v>106332000</v>
      </c>
      <c r="H55" s="15" t="n">
        <v>63671000</v>
      </c>
      <c r="I55" s="15" t="n">
        <v>84315000</v>
      </c>
      <c r="J55" s="15" t="n">
        <v>223416000</v>
      </c>
      <c r="K55" s="15" t="n">
        <v>35676000</v>
      </c>
      <c r="L55" s="15" t="n">
        <v>411694000</v>
      </c>
      <c r="M55" s="15" t="n">
        <v>53117000</v>
      </c>
      <c r="N55" s="7" t="str">
        <f>IFERROR(VLOOKUP(TRIM(B55),'확인표_A'!$A$6:$B$14,2,FALSE),"확인 필요")</f>
        <v>EUR</v>
      </c>
      <c r="O55" s="7">
        <f>SUMPRODUCT(--ISTEXT(C55:E55))</f>
        <v>0</v>
      </c>
      <c r="P55" s="7">
        <f>IF(OR(G55="",H55="",I55="",J55="",L55=""),1,0)</f>
        <v>0</v>
      </c>
      <c r="Q55" s="7">
        <f>IF(AND(J55&lt;&gt;"",J55&lt;=0),1,0)</f>
        <v>0</v>
      </c>
      <c r="R55" s="20">
        <f>IF(OR(G55="",H55=""),"",G55/H55)</f>
        <v>1.6700224592043473</v>
      </c>
      <c r="S55" s="20">
        <f>IF(OR(I55="",J55="",Q55=1),"",I55/J55)</f>
        <v>0.37739016006015685</v>
      </c>
      <c r="T55" s="23">
        <f>IF(OR(K55="",L55=""),"",K55/L55*365)</f>
        <v>31.62965697824112</v>
      </c>
      <c r="U55" s="20">
        <f>IF(OR(M55="",L55=""),"",M55/L55)</f>
        <v>0.12902058324872356</v>
      </c>
      <c r="V55" s="8">
        <f>IF(ISTEXT(C55),"글자 섞임",ROUND(C55*VLOOKUP(N55,'환율_기준일'!$A$4:$E$7,5,FALSE)/'환율_기준일'!$E$4,2))</f>
        <v>0</v>
      </c>
      <c r="W55" s="7">
        <f>IF(ISNUMBER(V55),IF(V55&gt;F55*10,1,0),"")</f>
        <v>0</v>
      </c>
      <c r="X55" s="7" t="str">
        <f>IF(Q55=1,COUNTIF($Q$2:Q55,1),"")</f>
        <v/>
      </c>
    </row>
    <row r="56">
      <c r="A56" s="16" t="inlineStr">
        <is>
          <t>B055</t>
        </is>
      </c>
      <c r="B56" s="16" t="inlineStr">
        <is>
          <t>USD</t>
        </is>
      </c>
      <c r="C56" s="15" t="n">
        <v>0</v>
      </c>
      <c r="D56" s="15" t="n">
        <v>0</v>
      </c>
      <c r="E56" s="15" t="n">
        <v>0</v>
      </c>
      <c r="F56" s="15" t="n">
        <v>10000</v>
      </c>
      <c r="G56" s="16" t="n"/>
      <c r="H56" s="16" t="n"/>
      <c r="I56" s="16" t="n"/>
      <c r="J56" s="16" t="n"/>
      <c r="K56" s="16" t="n"/>
      <c r="L56" s="16" t="n"/>
      <c r="M56" s="16" t="n"/>
      <c r="N56" s="7" t="str">
        <f>IFERROR(VLOOKUP(TRIM(B56),'확인표_A'!$A$6:$B$14,2,FALSE),"확인 필요")</f>
        <v>USD</v>
      </c>
      <c r="O56" s="7">
        <f>SUMPRODUCT(--ISTEXT(C56:E56))</f>
        <v>0</v>
      </c>
      <c r="P56" s="7">
        <f>IF(OR(G56="",H56="",I56="",J56="",L56=""),1,0)</f>
        <v>1</v>
      </c>
      <c r="Q56" s="7">
        <f>IF(AND(J56&lt;&gt;"",J56&lt;=0),1,0)</f>
        <v>0</v>
      </c>
      <c r="R56" s="20" t="str">
        <f>IF(OR(G56="",H56=""),"",G56/H56)</f>
        <v/>
      </c>
      <c r="S56" s="20" t="str">
        <f>IF(OR(I56="",J56="",Q56=1),"",I56/J56)</f>
        <v/>
      </c>
      <c r="T56" s="23" t="str">
        <f>IF(OR(K56="",L56=""),"",K56/L56*365)</f>
        <v/>
      </c>
      <c r="U56" s="20" t="str">
        <f>IF(OR(M56="",L56=""),"",M56/L56)</f>
        <v/>
      </c>
      <c r="V56" s="8">
        <f>IF(ISTEXT(C56),"글자 섞임",ROUND(C56*VLOOKUP(N56,'환율_기준일'!$A$4:$E$7,5,FALSE)/'환율_기준일'!$E$4,2))</f>
        <v>0</v>
      </c>
      <c r="W56" s="7">
        <f>IF(ISNUMBER(V56),IF(V56&gt;F56*10,1,0),"")</f>
        <v>0</v>
      </c>
      <c r="X56" s="7" t="str">
        <f>IF(Q56=1,COUNTIF($Q$2:Q56,1),"")</f>
        <v/>
      </c>
    </row>
    <row r="57">
      <c r="A57" s="16" t="inlineStr">
        <is>
          <t>B056</t>
        </is>
      </c>
      <c r="B57" s="16" t="inlineStr">
        <is>
          <t>USD</t>
        </is>
      </c>
      <c r="C57" s="15" t="n">
        <v>63690</v>
      </c>
      <c r="D57" s="15" t="n">
        <v>63690</v>
      </c>
      <c r="E57" s="15" t="n">
        <v>0</v>
      </c>
      <c r="F57" s="15" t="n">
        <v>30000</v>
      </c>
      <c r="G57" s="15" t="n">
        <v>3255000</v>
      </c>
      <c r="H57" s="15" t="n">
        <v>2579000</v>
      </c>
      <c r="I57" s="15" t="n">
        <v>4321000</v>
      </c>
      <c r="J57" s="15" t="n">
        <v>5972000</v>
      </c>
      <c r="K57" s="15" t="n">
        <v>1224000</v>
      </c>
      <c r="L57" s="15" t="n">
        <v>8052000</v>
      </c>
      <c r="M57" s="15" t="n">
        <v>805000</v>
      </c>
      <c r="N57" s="7" t="str">
        <f>IFERROR(VLOOKUP(TRIM(B57),'확인표_A'!$A$6:$B$14,2,FALSE),"확인 필요")</f>
        <v>USD</v>
      </c>
      <c r="O57" s="7">
        <f>SUMPRODUCT(--ISTEXT(C57:E57))</f>
        <v>0</v>
      </c>
      <c r="P57" s="7">
        <f>IF(OR(G57="",H57="",I57="",J57="",L57=""),1,0)</f>
        <v>0</v>
      </c>
      <c r="Q57" s="7">
        <f>IF(AND(J57&lt;&gt;"",J57&lt;=0),1,0)</f>
        <v>0</v>
      </c>
      <c r="R57" s="20">
        <f>IF(OR(G57="",H57=""),"",G57/H57)</f>
        <v>1.2621170996510276</v>
      </c>
      <c r="S57" s="20">
        <f>IF(OR(I57="",J57="",Q57=1),"",I57/J57)</f>
        <v>0.7235432016075016</v>
      </c>
      <c r="T57" s="23">
        <f>IF(OR(K57="",L57=""),"",K57/L57*365)</f>
        <v>55.48435171385991</v>
      </c>
      <c r="U57" s="20">
        <f>IF(OR(M57="",L57=""),"",M57/L57)</f>
        <v>0.09997516145057128</v>
      </c>
      <c r="V57" s="8">
        <f>IF(ISTEXT(C57),"글자 섞임",ROUND(C57*VLOOKUP(N57,'환율_기준일'!$A$4:$E$7,5,FALSE)/'환율_기준일'!$E$4,2))</f>
        <v>63690</v>
      </c>
      <c r="W57" s="7">
        <f>IF(ISNUMBER(V57),IF(V57&gt;F57*10,1,0),"")</f>
        <v>0</v>
      </c>
      <c r="X57" s="7" t="str">
        <f>IF(Q57=1,COUNTIF($Q$2:Q57,1),"")</f>
        <v/>
      </c>
    </row>
    <row r="58">
      <c r="A58" s="16" t="inlineStr">
        <is>
          <t>B057</t>
        </is>
      </c>
      <c r="B58" s="16" t="inlineStr">
        <is>
          <t>USD</t>
        </is>
      </c>
      <c r="C58" s="15" t="n">
        <v>141190</v>
      </c>
      <c r="D58" s="15" t="n">
        <v>138790</v>
      </c>
      <c r="E58" s="15" t="n">
        <v>2400</v>
      </c>
      <c r="F58" s="15" t="n">
        <v>160000</v>
      </c>
      <c r="G58" s="15" t="n">
        <v>22594000</v>
      </c>
      <c r="H58" s="15" t="n">
        <v>21473000</v>
      </c>
      <c r="I58" s="15" t="n">
        <v>45418000</v>
      </c>
      <c r="J58" s="15" t="n">
        <v>30871000</v>
      </c>
      <c r="K58" s="15" t="n">
        <v>9245000</v>
      </c>
      <c r="L58" s="15" t="n">
        <v>46739000</v>
      </c>
      <c r="M58" s="15" t="n">
        <v>3198000</v>
      </c>
      <c r="N58" s="7" t="str">
        <f>IFERROR(VLOOKUP(TRIM(B58),'확인표_A'!$A$6:$B$14,2,FALSE),"확인 필요")</f>
        <v>USD</v>
      </c>
      <c r="O58" s="7">
        <f>SUMPRODUCT(--ISTEXT(C58:E58))</f>
        <v>0</v>
      </c>
      <c r="P58" s="7">
        <f>IF(OR(G58="",H58="",I58="",J58="",L58=""),1,0)</f>
        <v>0</v>
      </c>
      <c r="Q58" s="7">
        <f>IF(AND(J58&lt;&gt;"",J58&lt;=0),1,0)</f>
        <v>0</v>
      </c>
      <c r="R58" s="20">
        <f>IF(OR(G58="",H58=""),"",G58/H58)</f>
        <v>1.0522050947701764</v>
      </c>
      <c r="S58" s="20">
        <f>IF(OR(I58="",J58="",Q58=1),"",I58/J58)</f>
        <v>1.4712189433448868</v>
      </c>
      <c r="T58" s="23">
        <f>IF(OR(K58="",L58=""),"",K58/L58*365)</f>
        <v>72.19720148056227</v>
      </c>
      <c r="U58" s="20">
        <f>IF(OR(M58="",L58=""),"",M58/L58)</f>
        <v>0.0684225165279531</v>
      </c>
      <c r="V58" s="8">
        <f>IF(ISTEXT(C58),"글자 섞임",ROUND(C58*VLOOKUP(N58,'환율_기준일'!$A$4:$E$7,5,FALSE)/'환율_기준일'!$E$4,2))</f>
        <v>141190</v>
      </c>
      <c r="W58" s="7">
        <f>IF(ISNUMBER(V58),IF(V58&gt;F58*10,1,0),"")</f>
        <v>0</v>
      </c>
      <c r="X58" s="7" t="str">
        <f>IF(Q58=1,COUNTIF($Q$2:Q58,1),"")</f>
        <v/>
      </c>
    </row>
    <row r="59">
      <c r="A59" s="16" t="inlineStr">
        <is>
          <t>B058</t>
        </is>
      </c>
      <c r="B59" s="16" t="inlineStr">
        <is>
          <t>USD</t>
        </is>
      </c>
      <c r="C59" s="15" t="n">
        <v>22060</v>
      </c>
      <c r="D59" s="15" t="n">
        <v>22060</v>
      </c>
      <c r="E59" s="15" t="n">
        <v>0</v>
      </c>
      <c r="F59" s="15" t="n">
        <v>30000</v>
      </c>
      <c r="G59" s="16" t="n"/>
      <c r="H59" s="16" t="n"/>
      <c r="I59" s="16" t="n"/>
      <c r="J59" s="16" t="n"/>
      <c r="K59" s="16" t="n"/>
      <c r="L59" s="16" t="n"/>
      <c r="M59" s="16" t="n"/>
      <c r="N59" s="7" t="str">
        <f>IFERROR(VLOOKUP(TRIM(B59),'확인표_A'!$A$6:$B$14,2,FALSE),"확인 필요")</f>
        <v>USD</v>
      </c>
      <c r="O59" s="7">
        <f>SUMPRODUCT(--ISTEXT(C59:E59))</f>
        <v>0</v>
      </c>
      <c r="P59" s="7">
        <f>IF(OR(G59="",H59="",I59="",J59="",L59=""),1,0)</f>
        <v>1</v>
      </c>
      <c r="Q59" s="7">
        <f>IF(AND(J59&lt;&gt;"",J59&lt;=0),1,0)</f>
        <v>0</v>
      </c>
      <c r="R59" s="20" t="str">
        <f>IF(OR(G59="",H59=""),"",G59/H59)</f>
        <v/>
      </c>
      <c r="S59" s="20" t="str">
        <f>IF(OR(I59="",J59="",Q59=1),"",I59/J59)</f>
        <v/>
      </c>
      <c r="T59" s="23" t="str">
        <f>IF(OR(K59="",L59=""),"",K59/L59*365)</f>
        <v/>
      </c>
      <c r="U59" s="20" t="str">
        <f>IF(OR(M59="",L59=""),"",M59/L59)</f>
        <v/>
      </c>
      <c r="V59" s="8">
        <f>IF(ISTEXT(C59),"글자 섞임",ROUND(C59*VLOOKUP(N59,'환율_기준일'!$A$4:$E$7,5,FALSE)/'환율_기준일'!$E$4,2))</f>
        <v>22060</v>
      </c>
      <c r="W59" s="7">
        <f>IF(ISNUMBER(V59),IF(V59&gt;F59*10,1,0),"")</f>
        <v>0</v>
      </c>
      <c r="X59" s="7" t="str">
        <f>IF(Q59=1,COUNTIF($Q$2:Q59,1),"")</f>
        <v/>
      </c>
    </row>
    <row r="60">
      <c r="A60" s="16" t="inlineStr">
        <is>
          <t>B059</t>
        </is>
      </c>
      <c r="B60" s="16" t="inlineStr">
        <is>
          <t>USD</t>
        </is>
      </c>
      <c r="C60" s="15" t="n">
        <v>4980</v>
      </c>
      <c r="D60" s="15" t="n">
        <v>0</v>
      </c>
      <c r="E60" s="15" t="n">
        <v>1400</v>
      </c>
      <c r="F60" s="15" t="n">
        <v>40000</v>
      </c>
      <c r="G60" s="15" t="n">
        <v>28938000</v>
      </c>
      <c r="H60" s="15" t="n">
        <v>37260000</v>
      </c>
      <c r="I60" s="15" t="n">
        <v>52596000</v>
      </c>
      <c r="J60" s="15" t="n">
        <v>22576000</v>
      </c>
      <c r="K60" s="15" t="n">
        <v>10230000</v>
      </c>
      <c r="L60" s="15" t="n">
        <v>48891000</v>
      </c>
      <c r="M60" s="15" t="n">
        <v>-2468000</v>
      </c>
      <c r="N60" s="7" t="str">
        <f>IFERROR(VLOOKUP(TRIM(B60),'확인표_A'!$A$6:$B$14,2,FALSE),"확인 필요")</f>
        <v>USD</v>
      </c>
      <c r="O60" s="7">
        <f>SUMPRODUCT(--ISTEXT(C60:E60))</f>
        <v>0</v>
      </c>
      <c r="P60" s="7">
        <f>IF(OR(G60="",H60="",I60="",J60="",L60=""),1,0)</f>
        <v>0</v>
      </c>
      <c r="Q60" s="7">
        <f>IF(AND(J60&lt;&gt;"",J60&lt;=0),1,0)</f>
        <v>0</v>
      </c>
      <c r="R60" s="20">
        <f>IF(OR(G60="",H60=""),"",G60/H60)</f>
        <v>0.7766505636070854</v>
      </c>
      <c r="S60" s="20">
        <f>IF(OR(I60="",J60="",Q60=1),"",I60/J60)</f>
        <v>2.3297306874557053</v>
      </c>
      <c r="T60" s="23">
        <f>IF(OR(K60="",L60=""),"",K60/L60*365)</f>
        <v>76.3729520770694</v>
      </c>
      <c r="U60" s="20">
        <f>IF(OR(M60="",L60=""),"",M60/L60)</f>
        <v>-0.050479638379251804</v>
      </c>
      <c r="V60" s="8">
        <f>IF(ISTEXT(C60),"글자 섞임",ROUND(C60*VLOOKUP(N60,'환율_기준일'!$A$4:$E$7,5,FALSE)/'환율_기준일'!$E$4,2))</f>
        <v>4980</v>
      </c>
      <c r="W60" s="7">
        <f>IF(ISNUMBER(V60),IF(V60&gt;F60*10,1,0),"")</f>
        <v>0</v>
      </c>
      <c r="X60" s="7" t="str">
        <f>IF(Q60=1,COUNTIF($Q$2:Q60,1),"")</f>
        <v/>
      </c>
    </row>
    <row r="61">
      <c r="A61" s="16" t="inlineStr">
        <is>
          <t>B060</t>
        </is>
      </c>
      <c r="B61" s="16" t="inlineStr">
        <is>
          <t>US$</t>
        </is>
      </c>
      <c r="C61" s="15" t="n">
        <v>0</v>
      </c>
      <c r="D61" s="15" t="n">
        <v>0</v>
      </c>
      <c r="E61" s="15" t="n">
        <v>0</v>
      </c>
      <c r="F61" s="15" t="n">
        <v>10000</v>
      </c>
      <c r="G61" s="16" t="n"/>
      <c r="H61" s="16" t="n"/>
      <c r="I61" s="16" t="n"/>
      <c r="J61" s="16" t="n"/>
      <c r="K61" s="16" t="n"/>
      <c r="L61" s="16" t="n"/>
      <c r="M61" s="16" t="n"/>
      <c r="N61" s="7" t="str">
        <f>IFERROR(VLOOKUP(TRIM(B61),'확인표_A'!$A$6:$B$14,2,FALSE),"확인 필요")</f>
        <v>USD</v>
      </c>
      <c r="O61" s="7">
        <f>SUMPRODUCT(--ISTEXT(C61:E61))</f>
        <v>0</v>
      </c>
      <c r="P61" s="7">
        <f>IF(OR(G61="",H61="",I61="",J61="",L61=""),1,0)</f>
        <v>1</v>
      </c>
      <c r="Q61" s="7">
        <f>IF(AND(J61&lt;&gt;"",J61&lt;=0),1,0)</f>
        <v>0</v>
      </c>
      <c r="R61" s="20" t="str">
        <f>IF(OR(G61="",H61=""),"",G61/H61)</f>
        <v/>
      </c>
      <c r="S61" s="20" t="str">
        <f>IF(OR(I61="",J61="",Q61=1),"",I61/J61)</f>
        <v/>
      </c>
      <c r="T61" s="23" t="str">
        <f>IF(OR(K61="",L61=""),"",K61/L61*365)</f>
        <v/>
      </c>
      <c r="U61" s="20" t="str">
        <f>IF(OR(M61="",L61=""),"",M61/L61)</f>
        <v/>
      </c>
      <c r="V61" s="8">
        <f>IF(ISTEXT(C61),"글자 섞임",ROUND(C61*VLOOKUP(N61,'환율_기준일'!$A$4:$E$7,5,FALSE)/'환율_기준일'!$E$4,2))</f>
        <v>0</v>
      </c>
      <c r="W61" s="7">
        <f>IF(ISNUMBER(V61),IF(V61&gt;F61*10,1,0),"")</f>
        <v>0</v>
      </c>
      <c r="X61" s="7" t="str">
        <f>IF(Q61=1,COUNTIF($Q$2:Q61,1),"")</f>
        <v/>
      </c>
    </row>
    <row r="62">
      <c r="A62" s="16" t="inlineStr">
        <is>
          <t>B061</t>
        </is>
      </c>
      <c r="B62" s="16" t="inlineStr">
        <is>
          <t>USD</t>
        </is>
      </c>
      <c r="C62" s="15" t="n">
        <v>7670</v>
      </c>
      <c r="D62" s="15" t="n">
        <v>7670</v>
      </c>
      <c r="E62" s="15" t="n">
        <v>0</v>
      </c>
      <c r="F62" s="15" t="n">
        <v>10000</v>
      </c>
      <c r="G62" s="15" t="n">
        <v>12831000</v>
      </c>
      <c r="H62" s="15" t="n">
        <v>6178000</v>
      </c>
      <c r="I62" s="15" t="n">
        <v>9947000</v>
      </c>
      <c r="J62" s="15" t="n">
        <v>3869000</v>
      </c>
      <c r="K62" s="15" t="n">
        <v>4774000</v>
      </c>
      <c r="L62" s="15" t="n">
        <v>21218000</v>
      </c>
      <c r="M62" s="16" t="n"/>
      <c r="N62" s="7" t="str">
        <f>IFERROR(VLOOKUP(TRIM(B62),'확인표_A'!$A$6:$B$14,2,FALSE),"확인 필요")</f>
        <v>USD</v>
      </c>
      <c r="O62" s="7">
        <f>SUMPRODUCT(--ISTEXT(C62:E62))</f>
        <v>0</v>
      </c>
      <c r="P62" s="7">
        <f>IF(OR(G62="",H62="",I62="",J62="",L62=""),1,0)</f>
        <v>0</v>
      </c>
      <c r="Q62" s="7">
        <f>IF(AND(J62&lt;&gt;"",J62&lt;=0),1,0)</f>
        <v>0</v>
      </c>
      <c r="R62" s="20">
        <f>IF(OR(G62="",H62=""),"",G62/H62)</f>
        <v>2.0768857235351246</v>
      </c>
      <c r="S62" s="20">
        <f>IF(OR(I62="",J62="",Q62=1),"",I62/J62)</f>
        <v>2.570948565520806</v>
      </c>
      <c r="T62" s="23">
        <f>IF(OR(K62="",L62=""),"",K62/L62*365)</f>
        <v>82.12413988123292</v>
      </c>
      <c r="U62" s="20" t="str">
        <f>IF(OR(M62="",L62=""),"",M62/L62)</f>
        <v/>
      </c>
      <c r="V62" s="8">
        <f>IF(ISTEXT(C62),"글자 섞임",ROUND(C62*VLOOKUP(N62,'환율_기준일'!$A$4:$E$7,5,FALSE)/'환율_기준일'!$E$4,2))</f>
        <v>7670</v>
      </c>
      <c r="W62" s="7">
        <f>IF(ISNUMBER(V62),IF(V62&gt;F62*10,1,0),"")</f>
        <v>0</v>
      </c>
      <c r="X62" s="7" t="str">
        <f>IF(Q62=1,COUNTIF($Q$2:Q62,1),"")</f>
        <v/>
      </c>
    </row>
    <row r="63">
      <c r="A63" s="16" t="inlineStr">
        <is>
          <t>B062</t>
        </is>
      </c>
      <c r="B63" s="16" t="inlineStr">
        <is>
          <t>usd</t>
        </is>
      </c>
      <c r="C63" s="15" t="n">
        <v>44530</v>
      </c>
      <c r="D63" s="15" t="n">
        <v>36780</v>
      </c>
      <c r="E63" s="15" t="n">
        <v>7750</v>
      </c>
      <c r="F63" s="15" t="n">
        <v>120000</v>
      </c>
      <c r="G63" s="15" t="n">
        <v>39188000</v>
      </c>
      <c r="H63" s="16" t="n"/>
      <c r="I63" s="15" t="n">
        <v>32174000</v>
      </c>
      <c r="J63" s="15" t="n">
        <v>22273000</v>
      </c>
      <c r="K63" s="15" t="n">
        <v>20572000</v>
      </c>
      <c r="L63" s="15" t="n">
        <v>105519000</v>
      </c>
      <c r="M63" s="15" t="n">
        <v>9946000</v>
      </c>
      <c r="N63" s="7" t="str">
        <f>IFERROR(VLOOKUP(TRIM(B63),'확인표_A'!$A$6:$B$14,2,FALSE),"확인 필요")</f>
        <v>USD</v>
      </c>
      <c r="O63" s="7">
        <f>SUMPRODUCT(--ISTEXT(C63:E63))</f>
        <v>0</v>
      </c>
      <c r="P63" s="7">
        <f>IF(OR(G63="",H63="",I63="",J63="",L63=""),1,0)</f>
        <v>1</v>
      </c>
      <c r="Q63" s="7">
        <f>IF(AND(J63&lt;&gt;"",J63&lt;=0),1,0)</f>
        <v>0</v>
      </c>
      <c r="R63" s="20" t="str">
        <f>IF(OR(G63="",H63=""),"",G63/H63)</f>
        <v/>
      </c>
      <c r="S63" s="20">
        <f>IF(OR(I63="",J63="",Q63=1),"",I63/J63)</f>
        <v>1.4445292506622367</v>
      </c>
      <c r="T63" s="23">
        <f>IF(OR(K63="",L63=""),"",K63/L63*365)</f>
        <v>71.16045451530056</v>
      </c>
      <c r="U63" s="20">
        <f>IF(OR(M63="",L63=""),"",M63/L63)</f>
        <v>0.09425790615908035</v>
      </c>
      <c r="V63" s="8">
        <f>IF(ISTEXT(C63),"글자 섞임",ROUND(C63*VLOOKUP(N63,'환율_기준일'!$A$4:$E$7,5,FALSE)/'환율_기준일'!$E$4,2))</f>
        <v>44530</v>
      </c>
      <c r="W63" s="7">
        <f>IF(ISNUMBER(V63),IF(V63&gt;F63*10,1,0),"")</f>
        <v>0</v>
      </c>
      <c r="X63" s="7" t="str">
        <f>IF(Q63=1,COUNTIF($Q$2:Q63,1),"")</f>
        <v/>
      </c>
    </row>
    <row r="64">
      <c r="A64" s="16" t="inlineStr">
        <is>
          <t>B063</t>
        </is>
      </c>
      <c r="B64" s="16" t="inlineStr">
        <is>
          <t>RMB</t>
        </is>
      </c>
      <c r="C64" s="15" t="n">
        <v>0</v>
      </c>
      <c r="D64" s="15" t="n">
        <v>0</v>
      </c>
      <c r="E64" s="15" t="n">
        <v>0</v>
      </c>
      <c r="F64" s="15" t="n">
        <v>10000</v>
      </c>
      <c r="G64" s="15" t="n">
        <v>6081000</v>
      </c>
      <c r="H64" s="15" t="n">
        <v>3984000</v>
      </c>
      <c r="I64" s="15" t="n">
        <v>7716000</v>
      </c>
      <c r="J64" s="15" t="n">
        <v>2059000</v>
      </c>
      <c r="K64" s="15" t="n">
        <v>2611000</v>
      </c>
      <c r="L64" s="15" t="n">
        <v>7780000</v>
      </c>
      <c r="M64" s="15" t="n">
        <v>53000</v>
      </c>
      <c r="N64" s="7" t="str">
        <f>IFERROR(VLOOKUP(TRIM(B64),'확인표_A'!$A$6:$B$14,2,FALSE),"확인 필요")</f>
        <v>CNY</v>
      </c>
      <c r="O64" s="7">
        <f>SUMPRODUCT(--ISTEXT(C64:E64))</f>
        <v>0</v>
      </c>
      <c r="P64" s="7">
        <f>IF(OR(G64="",H64="",I64="",J64="",L64=""),1,0)</f>
        <v>0</v>
      </c>
      <c r="Q64" s="7">
        <f>IF(AND(J64&lt;&gt;"",J64&lt;=0),1,0)</f>
        <v>0</v>
      </c>
      <c r="R64" s="20">
        <f>IF(OR(G64="",H64=""),"",G64/H64)</f>
        <v>1.526355421686747</v>
      </c>
      <c r="S64" s="20">
        <f>IF(OR(I64="",J64="",Q64=1),"",I64/J64)</f>
        <v>3.7474502185526957</v>
      </c>
      <c r="T64" s="23">
        <f>IF(OR(K64="",L64=""),"",K64/L64*365)</f>
        <v>122.49550128534705</v>
      </c>
      <c r="U64" s="20">
        <f>IF(OR(M64="",L64=""),"",M64/L64)</f>
        <v>0.006812339331619537</v>
      </c>
      <c r="V64" s="8">
        <f>IF(ISTEXT(C64),"글자 섞임",ROUND(C64*VLOOKUP(N64,'환율_기준일'!$A$4:$E$7,5,FALSE)/'환율_기준일'!$E$4,2))</f>
        <v>0</v>
      </c>
      <c r="W64" s="7">
        <f>IF(ISNUMBER(V64),IF(V64&gt;F64*10,1,0),"")</f>
        <v>0</v>
      </c>
      <c r="X64" s="7" t="str">
        <f>IF(Q64=1,COUNTIF($Q$2:Q64,1),"")</f>
        <v/>
      </c>
    </row>
    <row r="65">
      <c r="A65" s="16" t="inlineStr">
        <is>
          <t>B064</t>
        </is>
      </c>
      <c r="B65" s="16" t="inlineStr">
        <is>
          <t>USD</t>
        </is>
      </c>
      <c r="C65" s="15" t="n">
        <v>11137</v>
      </c>
      <c r="D65" s="15" t="n">
        <v>11137</v>
      </c>
      <c r="E65" s="15" t="n">
        <v>0</v>
      </c>
      <c r="F65" s="15" t="n">
        <v>70000</v>
      </c>
      <c r="G65" s="15" t="n">
        <v>137605000</v>
      </c>
      <c r="H65" s="15" t="n">
        <v>69712000</v>
      </c>
      <c r="I65" s="15" t="n">
        <v>151442000</v>
      </c>
      <c r="J65" s="15" t="n">
        <v>252633000</v>
      </c>
      <c r="K65" s="15" t="n">
        <v>69910000</v>
      </c>
      <c r="L65" s="15" t="n">
        <v>437380000</v>
      </c>
      <c r="M65" s="15" t="n">
        <v>46440000</v>
      </c>
      <c r="N65" s="7" t="str">
        <f>IFERROR(VLOOKUP(TRIM(B65),'확인표_A'!$A$6:$B$14,2,FALSE),"확인 필요")</f>
        <v>USD</v>
      </c>
      <c r="O65" s="7">
        <f>SUMPRODUCT(--ISTEXT(C65:E65))</f>
        <v>0</v>
      </c>
      <c r="P65" s="7">
        <f>IF(OR(G65="",H65="",I65="",J65="",L65=""),1,0)</f>
        <v>0</v>
      </c>
      <c r="Q65" s="7">
        <f>IF(AND(J65&lt;&gt;"",J65&lt;=0),1,0)</f>
        <v>0</v>
      </c>
      <c r="R65" s="20">
        <f>IF(OR(G65="",H65=""),"",G65/H65)</f>
        <v>1.9739069313747992</v>
      </c>
      <c r="S65" s="20">
        <f>IF(OR(I65="",J65="",Q65=1),"",I65/J65)</f>
        <v>0.5994545447348525</v>
      </c>
      <c r="T65" s="23">
        <f>IF(OR(K65="",L65=""),"",K65/L65*365)</f>
        <v>58.34091636563172</v>
      </c>
      <c r="U65" s="20">
        <f>IF(OR(M65="",L65=""),"",M65/L65)</f>
        <v>0.10617769445333577</v>
      </c>
      <c r="V65" s="8">
        <f>IF(ISTEXT(C65),"글자 섞임",ROUND(C65*VLOOKUP(N65,'환율_기준일'!$A$4:$E$7,5,FALSE)/'환율_기준일'!$E$4,2))</f>
        <v>11137</v>
      </c>
      <c r="W65" s="7">
        <f>IF(ISNUMBER(V65),IF(V65&gt;F65*10,1,0),"")</f>
        <v>0</v>
      </c>
      <c r="X65" s="7" t="str">
        <f>IF(Q65=1,COUNTIF($Q$2:Q65,1),"")</f>
        <v/>
      </c>
    </row>
    <row r="66">
      <c r="A66" s="16" t="inlineStr">
        <is>
          <t>B065</t>
        </is>
      </c>
      <c r="B66" s="16" t="inlineStr">
        <is>
          <t>usd</t>
        </is>
      </c>
      <c r="C66" s="15" t="n">
        <v>0</v>
      </c>
      <c r="D66" s="15" t="n">
        <v>0</v>
      </c>
      <c r="E66" s="15" t="n">
        <v>0</v>
      </c>
      <c r="F66" s="15" t="n">
        <v>10000</v>
      </c>
      <c r="G66" s="15" t="n">
        <v>65741000</v>
      </c>
      <c r="H66" s="16" t="n"/>
      <c r="I66" s="15" t="n">
        <v>78504000</v>
      </c>
      <c r="J66" s="16" t="n"/>
      <c r="K66" s="16" t="n"/>
      <c r="L66" s="15" t="n">
        <v>218133000</v>
      </c>
      <c r="M66" s="15" t="n">
        <v>23792000</v>
      </c>
      <c r="N66" s="7" t="str">
        <f>IFERROR(VLOOKUP(TRIM(B66),'확인표_A'!$A$6:$B$14,2,FALSE),"확인 필요")</f>
        <v>USD</v>
      </c>
      <c r="O66" s="7">
        <f>SUMPRODUCT(--ISTEXT(C66:E66))</f>
        <v>0</v>
      </c>
      <c r="P66" s="7">
        <f>IF(OR(G66="",H66="",I66="",J66="",L66=""),1,0)</f>
        <v>1</v>
      </c>
      <c r="Q66" s="7">
        <f>IF(AND(J66&lt;&gt;"",J66&lt;=0),1,0)</f>
        <v>0</v>
      </c>
      <c r="R66" s="20" t="str">
        <f>IF(OR(G66="",H66=""),"",G66/H66)</f>
        <v/>
      </c>
      <c r="S66" s="20" t="str">
        <f>IF(OR(I66="",J66="",Q66=1),"",I66/J66)</f>
        <v/>
      </c>
      <c r="T66" s="23" t="str">
        <f>IF(OR(K66="",L66=""),"",K66/L66*365)</f>
        <v/>
      </c>
      <c r="U66" s="20">
        <f>IF(OR(M66="",L66=""),"",M66/L66)</f>
        <v>0.10907107131887427</v>
      </c>
      <c r="V66" s="8">
        <f>IF(ISTEXT(C66),"글자 섞임",ROUND(C66*VLOOKUP(N66,'환율_기준일'!$A$4:$E$7,5,FALSE)/'환율_기준일'!$E$4,2))</f>
        <v>0</v>
      </c>
      <c r="W66" s="7">
        <f>IF(ISNUMBER(V66),IF(V66&gt;F66*10,1,0),"")</f>
        <v>0</v>
      </c>
      <c r="X66" s="7" t="str">
        <f>IF(Q66=1,COUNTIF($Q$2:Q66,1),"")</f>
        <v/>
      </c>
    </row>
    <row r="67">
      <c r="A67" s="16" t="inlineStr">
        <is>
          <t>B066</t>
        </is>
      </c>
      <c r="B67" s="16" t="inlineStr">
        <is>
          <t>USD</t>
        </is>
      </c>
      <c r="C67" s="15" t="n">
        <v>67070</v>
      </c>
      <c r="D67" s="15" t="n">
        <v>67070</v>
      </c>
      <c r="E67" s="15" t="n">
        <v>0</v>
      </c>
      <c r="F67" s="15" t="n">
        <v>140000</v>
      </c>
      <c r="G67" s="15" t="n">
        <v>48379000</v>
      </c>
      <c r="H67" s="15" t="n">
        <v>40764000</v>
      </c>
      <c r="I67" s="15" t="n">
        <v>72942000</v>
      </c>
      <c r="J67" s="16" t="n"/>
      <c r="K67" s="15" t="n">
        <v>17251000</v>
      </c>
      <c r="L67" s="15" t="n">
        <v>166249000</v>
      </c>
      <c r="M67" s="15" t="n">
        <v>11154000</v>
      </c>
      <c r="N67" s="7" t="str">
        <f>IFERROR(VLOOKUP(TRIM(B67),'확인표_A'!$A$6:$B$14,2,FALSE),"확인 필요")</f>
        <v>USD</v>
      </c>
      <c r="O67" s="7">
        <f>SUMPRODUCT(--ISTEXT(C67:E67))</f>
        <v>0</v>
      </c>
      <c r="P67" s="7">
        <f>IF(OR(G67="",H67="",I67="",J67="",L67=""),1,0)</f>
        <v>1</v>
      </c>
      <c r="Q67" s="7">
        <f>IF(AND(J67&lt;&gt;"",J67&lt;=0),1,0)</f>
        <v>0</v>
      </c>
      <c r="R67" s="20">
        <f>IF(OR(G67="",H67=""),"",G67/H67)</f>
        <v>1.1868069865567659</v>
      </c>
      <c r="S67" s="20" t="str">
        <f>IF(OR(I67="",J67="",Q67=1),"",I67/J67)</f>
        <v/>
      </c>
      <c r="T67" s="23">
        <f>IF(OR(K67="",L67=""),"",K67/L67*365)</f>
        <v>37.87460375701508</v>
      </c>
      <c r="U67" s="20">
        <f>IF(OR(M67="",L67=""),"",M67/L67)</f>
        <v>0.06709213288500983</v>
      </c>
      <c r="V67" s="8">
        <f>IF(ISTEXT(C67),"글자 섞임",ROUND(C67*VLOOKUP(N67,'환율_기준일'!$A$4:$E$7,5,FALSE)/'환율_기준일'!$E$4,2))</f>
        <v>67070</v>
      </c>
      <c r="W67" s="7">
        <f>IF(ISNUMBER(V67),IF(V67&gt;F67*10,1,0),"")</f>
        <v>0</v>
      </c>
      <c r="X67" s="7" t="str">
        <f>IF(Q67=1,COUNTIF($Q$2:Q67,1),"")</f>
        <v/>
      </c>
    </row>
    <row r="68">
      <c r="A68" s="16" t="inlineStr">
        <is>
          <t>B067</t>
        </is>
      </c>
      <c r="B68" s="16" t="inlineStr">
        <is>
          <t>USD</t>
        </is>
      </c>
      <c r="C68" s="15" t="n">
        <v>0</v>
      </c>
      <c r="D68" s="15" t="n">
        <v>0</v>
      </c>
      <c r="E68" s="15" t="n">
        <v>0</v>
      </c>
      <c r="F68" s="15" t="n">
        <v>10000</v>
      </c>
      <c r="G68" s="16" t="n"/>
      <c r="H68" s="16" t="n"/>
      <c r="I68" s="16" t="n"/>
      <c r="J68" s="16" t="n"/>
      <c r="K68" s="16" t="n"/>
      <c r="L68" s="16" t="n"/>
      <c r="M68" s="16" t="n"/>
      <c r="N68" s="7" t="str">
        <f>IFERROR(VLOOKUP(TRIM(B68),'확인표_A'!$A$6:$B$14,2,FALSE),"확인 필요")</f>
        <v>USD</v>
      </c>
      <c r="O68" s="7">
        <f>SUMPRODUCT(--ISTEXT(C68:E68))</f>
        <v>0</v>
      </c>
      <c r="P68" s="7">
        <f>IF(OR(G68="",H68="",I68="",J68="",L68=""),1,0)</f>
        <v>1</v>
      </c>
      <c r="Q68" s="7">
        <f>IF(AND(J68&lt;&gt;"",J68&lt;=0),1,0)</f>
        <v>0</v>
      </c>
      <c r="R68" s="20" t="str">
        <f>IF(OR(G68="",H68=""),"",G68/H68)</f>
        <v/>
      </c>
      <c r="S68" s="20" t="str">
        <f>IF(OR(I68="",J68="",Q68=1),"",I68/J68)</f>
        <v/>
      </c>
      <c r="T68" s="23" t="str">
        <f>IF(OR(K68="",L68=""),"",K68/L68*365)</f>
        <v/>
      </c>
      <c r="U68" s="20" t="str">
        <f>IF(OR(M68="",L68=""),"",M68/L68)</f>
        <v/>
      </c>
      <c r="V68" s="8">
        <f>IF(ISTEXT(C68),"글자 섞임",ROUND(C68*VLOOKUP(N68,'환율_기준일'!$A$4:$E$7,5,FALSE)/'환율_기준일'!$E$4,2))</f>
        <v>0</v>
      </c>
      <c r="W68" s="7">
        <f>IF(ISNUMBER(V68),IF(V68&gt;F68*10,1,0),"")</f>
        <v>0</v>
      </c>
      <c r="X68" s="7" t="str">
        <f>IF(Q68=1,COUNTIF($Q$2:Q68,1),"")</f>
        <v/>
      </c>
    </row>
    <row r="69">
      <c r="A69" s="16" t="inlineStr">
        <is>
          <t>B068</t>
        </is>
      </c>
      <c r="B69" s="16" t="inlineStr">
        <is>
          <t>USD</t>
        </is>
      </c>
      <c r="C69" s="15" t="n">
        <v>164860</v>
      </c>
      <c r="D69" s="15" t="n">
        <v>109420</v>
      </c>
      <c r="E69" s="15" t="n">
        <v>55440</v>
      </c>
      <c r="F69" s="15" t="n">
        <v>80000</v>
      </c>
      <c r="G69" s="15" t="n">
        <v>376164000</v>
      </c>
      <c r="H69" s="16" t="n"/>
      <c r="I69" s="15" t="n">
        <v>575013000</v>
      </c>
      <c r="J69" s="15" t="n">
        <v>188396000</v>
      </c>
      <c r="K69" s="15" t="n">
        <v>126096000</v>
      </c>
      <c r="L69" s="15" t="n">
        <v>656839000</v>
      </c>
      <c r="M69" s="15" t="n">
        <v>40295000</v>
      </c>
      <c r="N69" s="7" t="str">
        <f>IFERROR(VLOOKUP(TRIM(B69),'확인표_A'!$A$6:$B$14,2,FALSE),"확인 필요")</f>
        <v>USD</v>
      </c>
      <c r="O69" s="7">
        <f>SUMPRODUCT(--ISTEXT(C69:E69))</f>
        <v>0</v>
      </c>
      <c r="P69" s="7">
        <f>IF(OR(G69="",H69="",I69="",J69="",L69=""),1,0)</f>
        <v>1</v>
      </c>
      <c r="Q69" s="7">
        <f>IF(AND(J69&lt;&gt;"",J69&lt;=0),1,0)</f>
        <v>0</v>
      </c>
      <c r="R69" s="20" t="str">
        <f>IF(OR(G69="",H69=""),"",G69/H69)</f>
        <v/>
      </c>
      <c r="S69" s="20">
        <f>IF(OR(I69="",J69="",Q69=1),"",I69/J69)</f>
        <v>3.052150788764093</v>
      </c>
      <c r="T69" s="23">
        <f>IF(OR(K69="",L69=""),"",K69/L69*365)</f>
        <v>70.07050433972404</v>
      </c>
      <c r="U69" s="20">
        <f>IF(OR(M69="",L69=""),"",M69/L69)</f>
        <v>0.06134684450831939</v>
      </c>
      <c r="V69" s="8">
        <f>IF(ISTEXT(C69),"글자 섞임",ROUND(C69*VLOOKUP(N69,'환율_기준일'!$A$4:$E$7,5,FALSE)/'환율_기준일'!$E$4,2))</f>
        <v>164860</v>
      </c>
      <c r="W69" s="7">
        <f>IF(ISNUMBER(V69),IF(V69&gt;F69*10,1,0),"")</f>
        <v>0</v>
      </c>
      <c r="X69" s="7" t="str">
        <f>IF(Q69=1,COUNTIF($Q$2:Q69,1),"")</f>
        <v/>
      </c>
    </row>
    <row r="70">
      <c r="A70" s="16" t="inlineStr">
        <is>
          <t>B069</t>
        </is>
      </c>
      <c r="B70" s="16" t="inlineStr">
        <is>
          <t>US$</t>
        </is>
      </c>
      <c r="C70" s="15" t="n">
        <v>0</v>
      </c>
      <c r="D70" s="15" t="n">
        <v>0</v>
      </c>
      <c r="E70" s="15" t="n">
        <v>0</v>
      </c>
      <c r="F70" s="15" t="n">
        <v>10000</v>
      </c>
      <c r="G70" s="16" t="n"/>
      <c r="H70" s="16" t="n"/>
      <c r="I70" s="16" t="n"/>
      <c r="J70" s="16" t="n"/>
      <c r="K70" s="16" t="n"/>
      <c r="L70" s="16" t="n"/>
      <c r="M70" s="16" t="n"/>
      <c r="N70" s="7" t="str">
        <f>IFERROR(VLOOKUP(TRIM(B70),'확인표_A'!$A$6:$B$14,2,FALSE),"확인 필요")</f>
        <v>USD</v>
      </c>
      <c r="O70" s="7">
        <f>SUMPRODUCT(--ISTEXT(C70:E70))</f>
        <v>0</v>
      </c>
      <c r="P70" s="7">
        <f>IF(OR(G70="",H70="",I70="",J70="",L70=""),1,0)</f>
        <v>1</v>
      </c>
      <c r="Q70" s="7">
        <f>IF(AND(J70&lt;&gt;"",J70&lt;=0),1,0)</f>
        <v>0</v>
      </c>
      <c r="R70" s="20" t="str">
        <f>IF(OR(G70="",H70=""),"",G70/H70)</f>
        <v/>
      </c>
      <c r="S70" s="20" t="str">
        <f>IF(OR(I70="",J70="",Q70=1),"",I70/J70)</f>
        <v/>
      </c>
      <c r="T70" s="23" t="str">
        <f>IF(OR(K70="",L70=""),"",K70/L70*365)</f>
        <v/>
      </c>
      <c r="U70" s="20" t="str">
        <f>IF(OR(M70="",L70=""),"",M70/L70)</f>
        <v/>
      </c>
      <c r="V70" s="8">
        <f>IF(ISTEXT(C70),"글자 섞임",ROUND(C70*VLOOKUP(N70,'환율_기준일'!$A$4:$E$7,5,FALSE)/'환율_기준일'!$E$4,2))</f>
        <v>0</v>
      </c>
      <c r="W70" s="7">
        <f>IF(ISNUMBER(V70),IF(V70&gt;F70*10,1,0),"")</f>
        <v>0</v>
      </c>
      <c r="X70" s="7" t="str">
        <f>IF(Q70=1,COUNTIF($Q$2:Q70,1),"")</f>
        <v/>
      </c>
    </row>
    <row r="71">
      <c r="A71" s="16" t="inlineStr">
        <is>
          <t>B070</t>
        </is>
      </c>
      <c r="B71" s="16" t="inlineStr">
        <is>
          <t>EUR</t>
        </is>
      </c>
      <c r="C71" s="15" t="n">
        <v>7380</v>
      </c>
      <c r="D71" s="15" t="n">
        <v>7380</v>
      </c>
      <c r="E71" s="15" t="n">
        <v>0</v>
      </c>
      <c r="F71" s="15" t="n">
        <v>30000</v>
      </c>
      <c r="G71" s="15" t="n">
        <v>17518000</v>
      </c>
      <c r="H71" s="15" t="n">
        <v>11466000</v>
      </c>
      <c r="I71" s="15" t="n">
        <v>19732000</v>
      </c>
      <c r="J71" s="15" t="n">
        <v>10861000</v>
      </c>
      <c r="K71" s="15" t="n">
        <v>9210000</v>
      </c>
      <c r="L71" s="15" t="n">
        <v>34816000</v>
      </c>
      <c r="M71" s="15" t="n">
        <v>2516000</v>
      </c>
      <c r="N71" s="7" t="str">
        <f>IFERROR(VLOOKUP(TRIM(B71),'확인표_A'!$A$6:$B$14,2,FALSE),"확인 필요")</f>
        <v>EUR</v>
      </c>
      <c r="O71" s="7">
        <f>SUMPRODUCT(--ISTEXT(C71:E71))</f>
        <v>0</v>
      </c>
      <c r="P71" s="7">
        <f>IF(OR(G71="",H71="",I71="",J71="",L71=""),1,0)</f>
        <v>0</v>
      </c>
      <c r="Q71" s="7">
        <f>IF(AND(J71&lt;&gt;"",J71&lt;=0),1,0)</f>
        <v>0</v>
      </c>
      <c r="R71" s="20">
        <f>IF(OR(G71="",H71=""),"",G71/H71)</f>
        <v>1.5278213849642421</v>
      </c>
      <c r="S71" s="20">
        <f>IF(OR(I71="",J71="",Q71=1),"",I71/J71)</f>
        <v>1.81677561918792</v>
      </c>
      <c r="T71" s="23">
        <f>IF(OR(K71="",L71=""),"",K71/L71*365)</f>
        <v>96.55474494485294</v>
      </c>
      <c r="U71" s="20">
        <f>IF(OR(M71="",L71=""),"",M71/L71)</f>
        <v>0.072265625</v>
      </c>
      <c r="V71" s="8">
        <f>IF(ISTEXT(C71),"글자 섞임",ROUND(C71*VLOOKUP(N71,'환율_기준일'!$A$4:$E$7,5,FALSE)/'환율_기준일'!$E$4,2))</f>
        <v>8573.37</v>
      </c>
      <c r="W71" s="7">
        <f>IF(ISNUMBER(V71),IF(V71&gt;F71*10,1,0),"")</f>
        <v>0</v>
      </c>
      <c r="X71" s="7" t="str">
        <f>IF(Q71=1,COUNTIF($Q$2:Q71,1),"")</f>
        <v/>
      </c>
    </row>
    <row r="72">
      <c r="A72" s="16" t="inlineStr">
        <is>
          <t>B071</t>
        </is>
      </c>
      <c r="B72" s="16" t="inlineStr">
        <is>
          <t>USD</t>
        </is>
      </c>
      <c r="C72" s="15" t="n">
        <v>65000</v>
      </c>
      <c r="D72" s="15" t="n">
        <v>0</v>
      </c>
      <c r="E72" s="15" t="n">
        <v>0</v>
      </c>
      <c r="F72" s="15" t="n">
        <v>20000</v>
      </c>
      <c r="G72" s="15" t="n">
        <v>37837000</v>
      </c>
      <c r="H72" s="15" t="n">
        <v>50753000</v>
      </c>
      <c r="I72" s="15" t="n">
        <v>106526000</v>
      </c>
      <c r="J72" s="15" t="n">
        <v>52223000</v>
      </c>
      <c r="K72" s="15" t="n">
        <v>17256000</v>
      </c>
      <c r="L72" s="15" t="n">
        <v>51338000</v>
      </c>
      <c r="M72" s="15" t="n">
        <v>-2657000</v>
      </c>
      <c r="N72" s="7" t="str">
        <f>IFERROR(VLOOKUP(TRIM(B72),'확인표_A'!$A$6:$B$14,2,FALSE),"확인 필요")</f>
        <v>USD</v>
      </c>
      <c r="O72" s="7">
        <f>SUMPRODUCT(--ISTEXT(C72:E72))</f>
        <v>0</v>
      </c>
      <c r="P72" s="7">
        <f>IF(OR(G72="",H72="",I72="",J72="",L72=""),1,0)</f>
        <v>0</v>
      </c>
      <c r="Q72" s="7">
        <f>IF(AND(J72&lt;&gt;"",J72&lt;=0),1,0)</f>
        <v>0</v>
      </c>
      <c r="R72" s="20">
        <f>IF(OR(G72="",H72=""),"",G72/H72)</f>
        <v>0.7455125805371111</v>
      </c>
      <c r="S72" s="20">
        <f>IF(OR(I72="",J72="",Q72=1),"",I72/J72)</f>
        <v>2.0398291940332802</v>
      </c>
      <c r="T72" s="23">
        <f>IF(OR(K72="",L72=""),"",K72/L72*365)</f>
        <v>122.68572986871324</v>
      </c>
      <c r="U72" s="20">
        <f>IF(OR(M72="",L72=""),"",M72/L72)</f>
        <v>-0.05175503525653512</v>
      </c>
      <c r="V72" s="8">
        <f>IF(ISTEXT(C72),"글자 섞임",ROUND(C72*VLOOKUP(N72,'환율_기준일'!$A$4:$E$7,5,FALSE)/'환율_기준일'!$E$4,2))</f>
        <v>65000</v>
      </c>
      <c r="W72" s="7">
        <f>IF(ISNUMBER(V72),IF(V72&gt;F72*10,1,0),"")</f>
        <v>0</v>
      </c>
      <c r="X72" s="7" t="str">
        <f>IF(Q72=1,COUNTIF($Q$2:Q72,1),"")</f>
        <v/>
      </c>
    </row>
    <row r="73">
      <c r="A73" s="16" t="inlineStr">
        <is>
          <t>B072</t>
        </is>
      </c>
      <c r="B73" s="16" t="inlineStr">
        <is>
          <t>euro</t>
        </is>
      </c>
      <c r="C73" s="15" t="n">
        <v>8320000</v>
      </c>
      <c r="D73" s="15" t="n">
        <v>0</v>
      </c>
      <c r="E73" s="16" t="inlineStr">
        <is>
          <t>8,320</t>
        </is>
      </c>
      <c r="F73" s="15" t="n">
        <v>10000</v>
      </c>
      <c r="G73" s="15" t="n">
        <v>9343000</v>
      </c>
      <c r="H73" s="15" t="n">
        <v>7731000</v>
      </c>
      <c r="I73" s="15" t="n">
        <v>13382000</v>
      </c>
      <c r="J73" s="15" t="n">
        <v>6122000</v>
      </c>
      <c r="K73" s="15" t="n">
        <v>4148000</v>
      </c>
      <c r="L73" s="15" t="n">
        <v>22733000</v>
      </c>
      <c r="M73" s="15" t="n">
        <v>433000</v>
      </c>
      <c r="N73" s="7" t="str">
        <f>IFERROR(VLOOKUP(TRIM(B73),'확인표_A'!$A$6:$B$14,2,FALSE),"확인 필요")</f>
        <v>EUR</v>
      </c>
      <c r="O73" s="7">
        <f>SUMPRODUCT(--ISTEXT(C73:E73))</f>
        <v>1</v>
      </c>
      <c r="P73" s="7">
        <f>IF(OR(G73="",H73="",I73="",J73="",L73=""),1,0)</f>
        <v>0</v>
      </c>
      <c r="Q73" s="7">
        <f>IF(AND(J73&lt;&gt;"",J73&lt;=0),1,0)</f>
        <v>0</v>
      </c>
      <c r="R73" s="20">
        <f>IF(OR(G73="",H73=""),"",G73/H73)</f>
        <v>1.2085111887207347</v>
      </c>
      <c r="S73" s="20">
        <f>IF(OR(I73="",J73="",Q73=1),"",I73/J73)</f>
        <v>2.1858869650441033</v>
      </c>
      <c r="T73" s="23">
        <f>IF(OR(K73="",L73=""),"",K73/L73*365)</f>
        <v>66.60009677561254</v>
      </c>
      <c r="U73" s="20">
        <f>IF(OR(M73="",L73=""),"",M73/L73)</f>
        <v>0.019047200105573394</v>
      </c>
      <c r="V73" s="8">
        <f>IF(ISTEXT(C73),"글자 섞임",ROUND(C73*VLOOKUP(N73,'환율_기준일'!$A$4:$E$7,5,FALSE)/'환율_기준일'!$E$4,2))</f>
        <v>9665368.17</v>
      </c>
      <c r="W73" s="7">
        <f>IF(ISNUMBER(V73),IF(V73&gt;F73*10,1,0),"")</f>
        <v>1</v>
      </c>
      <c r="X73" s="7" t="str">
        <f>IF(Q73=1,COUNTIF($Q$2:Q73,1),"")</f>
        <v/>
      </c>
    </row>
    <row r="74">
      <c r="A74" s="16" t="inlineStr">
        <is>
          <t>B073</t>
        </is>
      </c>
      <c r="B74" s="16" t="inlineStr">
        <is>
          <t>US$</t>
        </is>
      </c>
      <c r="C74" s="15" t="n">
        <v>53380</v>
      </c>
      <c r="D74" s="15" t="n">
        <v>48270</v>
      </c>
      <c r="E74" s="15" t="n">
        <v>5110</v>
      </c>
      <c r="F74" s="15" t="n">
        <v>30000</v>
      </c>
      <c r="G74" s="15" t="n">
        <v>34439000</v>
      </c>
      <c r="H74" s="15" t="n">
        <v>23732000</v>
      </c>
      <c r="I74" s="15" t="n">
        <v>30240000</v>
      </c>
      <c r="J74" s="15" t="n">
        <v>16653000</v>
      </c>
      <c r="K74" s="15" t="n">
        <v>11700000</v>
      </c>
      <c r="L74" s="15" t="n">
        <v>61234000</v>
      </c>
      <c r="M74" s="15" t="n">
        <v>2255000</v>
      </c>
      <c r="N74" s="7" t="str">
        <f>IFERROR(VLOOKUP(TRIM(B74),'확인표_A'!$A$6:$B$14,2,FALSE),"확인 필요")</f>
        <v>USD</v>
      </c>
      <c r="O74" s="7">
        <f>SUMPRODUCT(--ISTEXT(C74:E74))</f>
        <v>0</v>
      </c>
      <c r="P74" s="7">
        <f>IF(OR(G74="",H74="",I74="",J74="",L74=""),1,0)</f>
        <v>0</v>
      </c>
      <c r="Q74" s="7">
        <f>IF(AND(J74&lt;&gt;"",J74&lt;=0),1,0)</f>
        <v>0</v>
      </c>
      <c r="R74" s="20">
        <f>IF(OR(G74="",H74=""),"",G74/H74)</f>
        <v>1.4511629866846452</v>
      </c>
      <c r="S74" s="20">
        <f>IF(OR(I74="",J74="",Q74=1),"",I74/J74)</f>
        <v>1.815889029003783</v>
      </c>
      <c r="T74" s="23">
        <f>IF(OR(K74="",L74=""),"",K74/L74*365)</f>
        <v>69.74066694973381</v>
      </c>
      <c r="U74" s="20">
        <f>IF(OR(M74="",L74=""),"",M74/L74)</f>
        <v>0.03682594636966391</v>
      </c>
      <c r="V74" s="8">
        <f>IF(ISTEXT(C74),"글자 섞임",ROUND(C74*VLOOKUP(N74,'환율_기준일'!$A$4:$E$7,5,FALSE)/'환율_기준일'!$E$4,2))</f>
        <v>53380</v>
      </c>
      <c r="W74" s="7">
        <f>IF(ISNUMBER(V74),IF(V74&gt;F74*10,1,0),"")</f>
        <v>0</v>
      </c>
      <c r="X74" s="7" t="str">
        <f>IF(Q74=1,COUNTIF($Q$2:Q74,1),"")</f>
        <v/>
      </c>
    </row>
    <row r="75">
      <c r="A75" s="16" t="inlineStr">
        <is>
          <t>B074</t>
        </is>
      </c>
      <c r="B75" s="16" t="inlineStr">
        <is>
          <t>USD</t>
        </is>
      </c>
      <c r="C75" s="15" t="n">
        <v>5140</v>
      </c>
      <c r="D75" s="15" t="n">
        <v>5140</v>
      </c>
      <c r="E75" s="15" t="n">
        <v>0</v>
      </c>
      <c r="F75" s="15" t="n">
        <v>10000</v>
      </c>
      <c r="G75" s="15" t="n">
        <v>26299000</v>
      </c>
      <c r="H75" s="15" t="n">
        <v>24228000</v>
      </c>
      <c r="I75" s="15" t="n">
        <v>31062000</v>
      </c>
      <c r="J75" s="15" t="n">
        <v>13128000</v>
      </c>
      <c r="K75" s="15" t="n">
        <v>11975000</v>
      </c>
      <c r="L75" s="15" t="n">
        <v>41388000</v>
      </c>
      <c r="M75" s="15" t="n">
        <v>1045000</v>
      </c>
      <c r="N75" s="7" t="str">
        <f>IFERROR(VLOOKUP(TRIM(B75),'확인표_A'!$A$6:$B$14,2,FALSE),"확인 필요")</f>
        <v>USD</v>
      </c>
      <c r="O75" s="7">
        <f>SUMPRODUCT(--ISTEXT(C75:E75))</f>
        <v>0</v>
      </c>
      <c r="P75" s="7">
        <f>IF(OR(G75="",H75="",I75="",J75="",L75=""),1,0)</f>
        <v>0</v>
      </c>
      <c r="Q75" s="7">
        <f>IF(AND(J75&lt;&gt;"",J75&lt;=0),1,0)</f>
        <v>0</v>
      </c>
      <c r="R75" s="20">
        <f>IF(OR(G75="",H75=""),"",G75/H75)</f>
        <v>1.085479610368169</v>
      </c>
      <c r="S75" s="20">
        <f>IF(OR(I75="",J75="",Q75=1),"",I75/J75)</f>
        <v>2.3660877513711154</v>
      </c>
      <c r="T75" s="23">
        <f>IF(OR(K75="",L75=""),"",K75/L75*365)</f>
        <v>105.60730163332366</v>
      </c>
      <c r="U75" s="20">
        <f>IF(OR(M75="",L75=""),"",M75/L75)</f>
        <v>0.025248864405141586</v>
      </c>
      <c r="V75" s="8">
        <f>IF(ISTEXT(C75),"글자 섞임",ROUND(C75*VLOOKUP(N75,'환율_기준일'!$A$4:$E$7,5,FALSE)/'환율_기준일'!$E$4,2))</f>
        <v>5140</v>
      </c>
      <c r="W75" s="7">
        <f>IF(ISNUMBER(V75),IF(V75&gt;F75*10,1,0),"")</f>
        <v>0</v>
      </c>
      <c r="X75" s="7" t="str">
        <f>IF(Q75=1,COUNTIF($Q$2:Q75,1),"")</f>
        <v/>
      </c>
    </row>
    <row r="76">
      <c r="A76" s="16" t="inlineStr">
        <is>
          <t>B075</t>
        </is>
      </c>
      <c r="B76" s="16" t="inlineStr">
        <is>
          <t>euro</t>
        </is>
      </c>
      <c r="C76" s="15" t="n">
        <v>4710</v>
      </c>
      <c r="D76" s="15" t="n">
        <v>0</v>
      </c>
      <c r="E76" s="15" t="n">
        <v>0</v>
      </c>
      <c r="F76" s="15" t="n">
        <v>20000</v>
      </c>
      <c r="G76" s="15" t="n">
        <v>11049000</v>
      </c>
      <c r="H76" s="16" t="n"/>
      <c r="I76" s="15" t="n">
        <v>16725000</v>
      </c>
      <c r="J76" s="16" t="n"/>
      <c r="K76" s="16" t="n"/>
      <c r="L76" s="15" t="n">
        <v>39424000</v>
      </c>
      <c r="M76" s="15" t="n">
        <v>4256000</v>
      </c>
      <c r="N76" s="7" t="str">
        <f>IFERROR(VLOOKUP(TRIM(B76),'확인표_A'!$A$6:$B$14,2,FALSE),"확인 필요")</f>
        <v>EUR</v>
      </c>
      <c r="O76" s="7">
        <f>SUMPRODUCT(--ISTEXT(C76:E76))</f>
        <v>0</v>
      </c>
      <c r="P76" s="7">
        <f>IF(OR(G76="",H76="",I76="",J76="",L76=""),1,0)</f>
        <v>1</v>
      </c>
      <c r="Q76" s="7">
        <f>IF(AND(J76&lt;&gt;"",J76&lt;=0),1,0)</f>
        <v>0</v>
      </c>
      <c r="R76" s="20" t="str">
        <f>IF(OR(G76="",H76=""),"",G76/H76)</f>
        <v/>
      </c>
      <c r="S76" s="20" t="str">
        <f>IF(OR(I76="",J76="",Q76=1),"",I76/J76)</f>
        <v/>
      </c>
      <c r="T76" s="23" t="str">
        <f>IF(OR(K76="",L76=""),"",K76/L76*365)</f>
        <v/>
      </c>
      <c r="U76" s="20">
        <f>IF(OR(M76="",L76=""),"",M76/L76)</f>
        <v>0.10795454545454546</v>
      </c>
      <c r="V76" s="8">
        <f>IF(ISTEXT(C76),"글자 섞임",ROUND(C76*VLOOKUP(N76,'환율_기준일'!$A$4:$E$7,5,FALSE)/'환율_기준일'!$E$4,2))</f>
        <v>5471.62</v>
      </c>
      <c r="W76" s="7">
        <f>IF(ISNUMBER(V76),IF(V76&gt;F76*10,1,0),"")</f>
        <v>0</v>
      </c>
      <c r="X76" s="7" t="str">
        <f>IF(Q76=1,COUNTIF($Q$2:Q76,1),"")</f>
        <v/>
      </c>
    </row>
    <row r="77">
      <c r="A77" s="16" t="inlineStr">
        <is>
          <t>B076</t>
        </is>
      </c>
      <c r="B77" s="16" t="inlineStr">
        <is>
          <t>EUR</t>
        </is>
      </c>
      <c r="C77" s="15" t="n">
        <v>51970</v>
      </c>
      <c r="D77" s="16" t="inlineStr">
        <is>
          <t>51,970</t>
        </is>
      </c>
      <c r="E77" s="15" t="n">
        <v>0</v>
      </c>
      <c r="F77" s="15" t="n">
        <v>30000</v>
      </c>
      <c r="G77" s="15" t="n">
        <v>2089000</v>
      </c>
      <c r="H77" s="16" t="n"/>
      <c r="I77" s="15" t="n">
        <v>1666000</v>
      </c>
      <c r="J77" s="15" t="n">
        <v>3113000</v>
      </c>
      <c r="K77" s="15" t="n">
        <v>938000</v>
      </c>
      <c r="L77" s="15" t="n">
        <v>7585000</v>
      </c>
      <c r="M77" s="15" t="n">
        <v>1174000</v>
      </c>
      <c r="N77" s="7" t="str">
        <f>IFERROR(VLOOKUP(TRIM(B77),'확인표_A'!$A$6:$B$14,2,FALSE),"확인 필요")</f>
        <v>EUR</v>
      </c>
      <c r="O77" s="7">
        <f>SUMPRODUCT(--ISTEXT(C77:E77))</f>
        <v>1</v>
      </c>
      <c r="P77" s="7">
        <f>IF(OR(G77="",H77="",I77="",J77="",L77=""),1,0)</f>
        <v>1</v>
      </c>
      <c r="Q77" s="7">
        <f>IF(AND(J77&lt;&gt;"",J77&lt;=0),1,0)</f>
        <v>0</v>
      </c>
      <c r="R77" s="20" t="str">
        <f>IF(OR(G77="",H77=""),"",G77/H77)</f>
        <v/>
      </c>
      <c r="S77" s="20">
        <f>IF(OR(I77="",J77="",Q77=1),"",I77/J77)</f>
        <v>0.5351750722775458</v>
      </c>
      <c r="T77" s="23">
        <f>IF(OR(K77="",L77=""),"",K77/L77*365)</f>
        <v>45.13777191825972</v>
      </c>
      <c r="U77" s="20">
        <f>IF(OR(M77="",L77=""),"",M77/L77)</f>
        <v>0.15477916941331576</v>
      </c>
      <c r="V77" s="8">
        <f>IF(ISTEXT(C77),"글자 섞임",ROUND(C77*VLOOKUP(N77,'환율_기준일'!$A$4:$E$7,5,FALSE)/'환율_기준일'!$E$4,2))</f>
        <v>60373.7</v>
      </c>
      <c r="W77" s="7">
        <f>IF(ISNUMBER(V77),IF(V77&gt;F77*10,1,0),"")</f>
        <v>0</v>
      </c>
      <c r="X77" s="7" t="str">
        <f>IF(Q77=1,COUNTIF($Q$2:Q77,1),"")</f>
        <v/>
      </c>
    </row>
    <row r="78">
      <c r="A78" s="16" t="inlineStr">
        <is>
          <t>B077</t>
        </is>
      </c>
      <c r="B78" s="16" t="inlineStr">
        <is>
          <t>USD</t>
        </is>
      </c>
      <c r="C78" s="15" t="n">
        <v>0</v>
      </c>
      <c r="D78" s="15" t="n">
        <v>0</v>
      </c>
      <c r="E78" s="15" t="n">
        <v>0</v>
      </c>
      <c r="F78" s="15" t="n">
        <v>10000</v>
      </c>
      <c r="G78" s="15" t="n">
        <v>10625000</v>
      </c>
      <c r="H78" s="15" t="n">
        <v>11560000</v>
      </c>
      <c r="I78" s="15" t="n">
        <v>24662000</v>
      </c>
      <c r="J78" s="16" t="n"/>
      <c r="K78" s="15" t="n">
        <v>5865000</v>
      </c>
      <c r="L78" s="15" t="n">
        <v>14578000</v>
      </c>
      <c r="M78" s="15" t="n">
        <v>-264000</v>
      </c>
      <c r="N78" s="7" t="str">
        <f>IFERROR(VLOOKUP(TRIM(B78),'확인표_A'!$A$6:$B$14,2,FALSE),"확인 필요")</f>
        <v>USD</v>
      </c>
      <c r="O78" s="7">
        <f>SUMPRODUCT(--ISTEXT(C78:E78))</f>
        <v>0</v>
      </c>
      <c r="P78" s="7">
        <f>IF(OR(G78="",H78="",I78="",J78="",L78=""),1,0)</f>
        <v>1</v>
      </c>
      <c r="Q78" s="7">
        <f>IF(AND(J78&lt;&gt;"",J78&lt;=0),1,0)</f>
        <v>0</v>
      </c>
      <c r="R78" s="20">
        <f>IF(OR(G78="",H78=""),"",G78/H78)</f>
        <v>0.9191176470588235</v>
      </c>
      <c r="S78" s="20" t="str">
        <f>IF(OR(I78="",J78="",Q78=1),"",I78/J78)</f>
        <v/>
      </c>
      <c r="T78" s="23">
        <f>IF(OR(K78="",L78=""),"",K78/L78*365)</f>
        <v>146.84627520921939</v>
      </c>
      <c r="U78" s="20">
        <f>IF(OR(M78="",L78=""),"",M78/L78)</f>
        <v>-0.018109480038414047</v>
      </c>
      <c r="V78" s="8">
        <f>IF(ISTEXT(C78),"글자 섞임",ROUND(C78*VLOOKUP(N78,'환율_기준일'!$A$4:$E$7,5,FALSE)/'환율_기준일'!$E$4,2))</f>
        <v>0</v>
      </c>
      <c r="W78" s="7">
        <f>IF(ISNUMBER(V78),IF(V78&gt;F78*10,1,0),"")</f>
        <v>0</v>
      </c>
      <c r="X78" s="7" t="str">
        <f>IF(Q78=1,COUNTIF($Q$2:Q78,1),"")</f>
        <v/>
      </c>
    </row>
    <row r="79">
      <c r="A79" s="16" t="inlineStr">
        <is>
          <t>B078</t>
        </is>
      </c>
      <c r="B79" s="16" t="inlineStr">
        <is>
          <t>USD</t>
        </is>
      </c>
      <c r="C79" s="15" t="n">
        <v>0</v>
      </c>
      <c r="D79" s="15" t="n">
        <v>0</v>
      </c>
      <c r="E79" s="15" t="n">
        <v>0</v>
      </c>
      <c r="F79" s="15" t="n">
        <v>10000</v>
      </c>
      <c r="G79" s="15" t="n">
        <v>33947000</v>
      </c>
      <c r="H79" s="15" t="n">
        <v>33033000</v>
      </c>
      <c r="I79" s="15" t="n">
        <v>54209000</v>
      </c>
      <c r="J79" s="15" t="n">
        <v>30894000</v>
      </c>
      <c r="K79" s="15" t="n">
        <v>14880000</v>
      </c>
      <c r="L79" s="15" t="n">
        <v>53852000</v>
      </c>
      <c r="M79" s="15" t="n">
        <v>374000</v>
      </c>
      <c r="N79" s="7" t="str">
        <f>IFERROR(VLOOKUP(TRIM(B79),'확인표_A'!$A$6:$B$14,2,FALSE),"확인 필요")</f>
        <v>USD</v>
      </c>
      <c r="O79" s="7">
        <f>SUMPRODUCT(--ISTEXT(C79:E79))</f>
        <v>0</v>
      </c>
      <c r="P79" s="7">
        <f>IF(OR(G79="",H79="",I79="",J79="",L79=""),1,0)</f>
        <v>0</v>
      </c>
      <c r="Q79" s="7">
        <f>IF(AND(J79&lt;&gt;"",J79&lt;=0),1,0)</f>
        <v>0</v>
      </c>
      <c r="R79" s="20">
        <f>IF(OR(G79="",H79=""),"",G79/H79)</f>
        <v>1.0276693003965731</v>
      </c>
      <c r="S79" s="20">
        <f>IF(OR(I79="",J79="",Q79=1),"",I79/J79)</f>
        <v>1.7546772836149414</v>
      </c>
      <c r="T79" s="23">
        <f>IF(OR(K79="",L79=""),"",K79/L79*365)</f>
        <v>100.85419297333434</v>
      </c>
      <c r="U79" s="20">
        <f>IF(OR(M79="",L79=""),"",M79/L79)</f>
        <v>0.006944960261457327</v>
      </c>
      <c r="V79" s="8">
        <f>IF(ISTEXT(C79),"글자 섞임",ROUND(C79*VLOOKUP(N79,'환율_기준일'!$A$4:$E$7,5,FALSE)/'환율_기준일'!$E$4,2))</f>
        <v>0</v>
      </c>
      <c r="W79" s="7">
        <f>IF(ISNUMBER(V79),IF(V79&gt;F79*10,1,0),"")</f>
        <v>0</v>
      </c>
      <c r="X79" s="7" t="str">
        <f>IF(Q79=1,COUNTIF($Q$2:Q79,1),"")</f>
        <v/>
      </c>
    </row>
    <row r="80">
      <c r="A80" s="16" t="inlineStr">
        <is>
          <t>B079</t>
        </is>
      </c>
      <c r="B80" s="16" t="inlineStr">
        <is>
          <t>JPY</t>
        </is>
      </c>
      <c r="C80" s="15" t="n">
        <v>9224000</v>
      </c>
      <c r="D80" s="15" t="n">
        <v>9224000</v>
      </c>
      <c r="E80" s="15" t="n">
        <v>0</v>
      </c>
      <c r="F80" s="15" t="n">
        <v>50000</v>
      </c>
      <c r="G80" s="15" t="n">
        <v>79202000</v>
      </c>
      <c r="H80" s="15" t="n">
        <v>36924000</v>
      </c>
      <c r="I80" s="15" t="n">
        <v>63783000</v>
      </c>
      <c r="J80" s="15" t="n">
        <v>226771000</v>
      </c>
      <c r="K80" s="15" t="n">
        <v>28108000</v>
      </c>
      <c r="L80" s="15" t="n">
        <v>234899000</v>
      </c>
      <c r="M80" s="15" t="n">
        <v>29299000</v>
      </c>
      <c r="N80" s="7" t="str">
        <f>IFERROR(VLOOKUP(TRIM(B80),'확인표_A'!$A$6:$B$14,2,FALSE),"확인 필요")</f>
        <v>JPY</v>
      </c>
      <c r="O80" s="7">
        <f>SUMPRODUCT(--ISTEXT(C80:E80))</f>
        <v>0</v>
      </c>
      <c r="P80" s="7">
        <f>IF(OR(G80="",H80="",I80="",J80="",L80=""),1,0)</f>
        <v>0</v>
      </c>
      <c r="Q80" s="7">
        <f>IF(AND(J80&lt;&gt;"",J80&lt;=0),1,0)</f>
        <v>0</v>
      </c>
      <c r="R80" s="20">
        <f>IF(OR(G80="",H80=""),"",G80/H80)</f>
        <v>2.1450005416531255</v>
      </c>
      <c r="S80" s="20">
        <f>IF(OR(I80="",J80="",Q80=1),"",I80/J80)</f>
        <v>0.28126612309334087</v>
      </c>
      <c r="T80" s="23">
        <f>IF(OR(K80="",L80=""),"",K80/L80*365)</f>
        <v>43.67587771765737</v>
      </c>
      <c r="U80" s="20">
        <f>IF(OR(M80="",L80=""),"",M80/L80)</f>
        <v>0.12473020319371304</v>
      </c>
      <c r="V80" s="8">
        <f>IF(ISTEXT(C80),"글자 섞임",ROUND(C80*VLOOKUP(N80,'환율_기준일'!$A$4:$E$7,5,FALSE)/'환율_기준일'!$E$4,2))</f>
        <v>57743.96</v>
      </c>
      <c r="W80" s="7">
        <f>IF(ISNUMBER(V80),IF(V80&gt;F80*10,1,0),"")</f>
        <v>0</v>
      </c>
      <c r="X80" s="7" t="str">
        <f>IF(Q80=1,COUNTIF($Q$2:Q80,1),"")</f>
        <v/>
      </c>
    </row>
    <row r="81">
      <c r="A81" s="16" t="inlineStr">
        <is>
          <t>B080</t>
        </is>
      </c>
      <c r="B81" s="16" t="inlineStr">
        <is>
          <t>JPY</t>
        </is>
      </c>
      <c r="C81" s="15" t="n">
        <v>3149000</v>
      </c>
      <c r="D81" s="15" t="n">
        <v>3149000</v>
      </c>
      <c r="E81" s="15" t="n">
        <v>0</v>
      </c>
      <c r="F81" s="15" t="n">
        <v>10000</v>
      </c>
      <c r="G81" s="15" t="n">
        <v>13504000</v>
      </c>
      <c r="H81" s="15" t="n">
        <v>8244000</v>
      </c>
      <c r="I81" s="15" t="n">
        <v>16786000</v>
      </c>
      <c r="J81" s="15" t="n">
        <v>22651000</v>
      </c>
      <c r="K81" s="15" t="n">
        <v>5825000</v>
      </c>
      <c r="L81" s="15" t="n">
        <v>40446000</v>
      </c>
      <c r="M81" s="15" t="n">
        <v>3239000</v>
      </c>
      <c r="N81" s="7" t="str">
        <f>IFERROR(VLOOKUP(TRIM(B81),'확인표_A'!$A$6:$B$14,2,FALSE),"확인 필요")</f>
        <v>JPY</v>
      </c>
      <c r="O81" s="7">
        <f>SUMPRODUCT(--ISTEXT(C81:E81))</f>
        <v>0</v>
      </c>
      <c r="P81" s="7">
        <f>IF(OR(G81="",H81="",I81="",J81="",L81=""),1,0)</f>
        <v>0</v>
      </c>
      <c r="Q81" s="7">
        <f>IF(AND(J81&lt;&gt;"",J81&lt;=0),1,0)</f>
        <v>0</v>
      </c>
      <c r="R81" s="20">
        <f>IF(OR(G81="",H81=""),"",G81/H81)</f>
        <v>1.6380397865114023</v>
      </c>
      <c r="S81" s="20">
        <f>IF(OR(I81="",J81="",Q81=1),"",I81/J81)</f>
        <v>0.7410710343914176</v>
      </c>
      <c r="T81" s="23">
        <f>IF(OR(K81="",L81=""),"",K81/L81*365)</f>
        <v>52.56700291747021</v>
      </c>
      <c r="U81" s="20">
        <f>IF(OR(M81="",L81=""),"",M81/L81)</f>
        <v>0.08008208475498195</v>
      </c>
      <c r="V81" s="8">
        <f>IF(ISTEXT(C81),"글자 섞임",ROUND(C81*VLOOKUP(N81,'환율_기준일'!$A$4:$E$7,5,FALSE)/'환율_기준일'!$E$4,2))</f>
        <v>19713.33</v>
      </c>
      <c r="W81" s="7">
        <f>IF(ISNUMBER(V81),IF(V81&gt;F81*10,1,0),"")</f>
        <v>0</v>
      </c>
      <c r="X81" s="7" t="str">
        <f>IF(Q81=1,COUNTIF($Q$2:Q81,1),"")</f>
        <v/>
      </c>
    </row>
    <row r="82">
      <c r="A82" s="16" t="inlineStr">
        <is>
          <t>B081</t>
        </is>
      </c>
      <c r="B82" s="16" t="inlineStr">
        <is>
          <t>JPY</t>
        </is>
      </c>
      <c r="C82" s="15" t="n">
        <v>5522000</v>
      </c>
      <c r="D82" s="15" t="n">
        <v>5522000</v>
      </c>
      <c r="E82" s="15" t="n">
        <v>0</v>
      </c>
      <c r="F82" s="15" t="n">
        <v>30000</v>
      </c>
      <c r="G82" s="16" t="n"/>
      <c r="H82" s="16" t="n"/>
      <c r="I82" s="16" t="n"/>
      <c r="J82" s="16" t="n"/>
      <c r="K82" s="16" t="n"/>
      <c r="L82" s="16" t="n"/>
      <c r="M82" s="16" t="n"/>
      <c r="N82" s="7" t="str">
        <f>IFERROR(VLOOKUP(TRIM(B82),'확인표_A'!$A$6:$B$14,2,FALSE),"확인 필요")</f>
        <v>JPY</v>
      </c>
      <c r="O82" s="7">
        <f>SUMPRODUCT(--ISTEXT(C82:E82))</f>
        <v>0</v>
      </c>
      <c r="P82" s="7">
        <f>IF(OR(G82="",H82="",I82="",J82="",L82=""),1,0)</f>
        <v>1</v>
      </c>
      <c r="Q82" s="7">
        <f>IF(AND(J82&lt;&gt;"",J82&lt;=0),1,0)</f>
        <v>0</v>
      </c>
      <c r="R82" s="20" t="str">
        <f>IF(OR(G82="",H82=""),"",G82/H82)</f>
        <v/>
      </c>
      <c r="S82" s="20" t="str">
        <f>IF(OR(I82="",J82="",Q82=1),"",I82/J82)</f>
        <v/>
      </c>
      <c r="T82" s="23" t="str">
        <f>IF(OR(K82="",L82=""),"",K82/L82*365)</f>
        <v/>
      </c>
      <c r="U82" s="20" t="str">
        <f>IF(OR(M82="",L82=""),"",M82/L82)</f>
        <v/>
      </c>
      <c r="V82" s="8">
        <f>IF(ISTEXT(C82),"글자 섞임",ROUND(C82*VLOOKUP(N82,'환율_기준일'!$A$4:$E$7,5,FALSE)/'환율_기준일'!$E$4,2))</f>
        <v>34568.75</v>
      </c>
      <c r="W82" s="7">
        <f>IF(ISNUMBER(V82),IF(V82&gt;F82*10,1,0),"")</f>
        <v>0</v>
      </c>
      <c r="X82" s="7" t="str">
        <f>IF(Q82=1,COUNTIF($Q$2:Q82,1),"")</f>
        <v/>
      </c>
    </row>
    <row r="83">
      <c r="A83" s="16" t="inlineStr">
        <is>
          <t>B082</t>
        </is>
      </c>
      <c r="B83" s="16" t="inlineStr">
        <is>
          <t>yen</t>
        </is>
      </c>
      <c r="C83" s="15" t="n">
        <v>11200000</v>
      </c>
      <c r="D83" s="15" t="n">
        <v>11200000</v>
      </c>
      <c r="E83" s="15" t="n">
        <v>0</v>
      </c>
      <c r="F83" s="15" t="n">
        <v>50000</v>
      </c>
      <c r="G83" s="15" t="n">
        <v>179551000</v>
      </c>
      <c r="H83" s="15" t="n">
        <v>101617000</v>
      </c>
      <c r="I83" s="15" t="n">
        <v>146785000</v>
      </c>
      <c r="J83" s="15" t="n">
        <v>88032000</v>
      </c>
      <c r="K83" s="15" t="n">
        <v>69820000</v>
      </c>
      <c r="L83" s="15" t="n">
        <v>364351000</v>
      </c>
      <c r="M83" s="15" t="n">
        <v>13923000</v>
      </c>
      <c r="N83" s="7" t="str">
        <f>IFERROR(VLOOKUP(TRIM(B83),'확인표_A'!$A$6:$B$14,2,FALSE),"확인 필요")</f>
        <v>JPY</v>
      </c>
      <c r="O83" s="7">
        <f>SUMPRODUCT(--ISTEXT(C83:E83))</f>
        <v>0</v>
      </c>
      <c r="P83" s="7">
        <f>IF(OR(G83="",H83="",I83="",J83="",L83=""),1,0)</f>
        <v>0</v>
      </c>
      <c r="Q83" s="7">
        <f>IF(AND(J83&lt;&gt;"",J83&lt;=0),1,0)</f>
        <v>0</v>
      </c>
      <c r="R83" s="20">
        <f>IF(OR(G83="",H83=""),"",G83/H83)</f>
        <v>1.7669386027928398</v>
      </c>
      <c r="S83" s="20">
        <f>IF(OR(I83="",J83="",Q83=1),"",I83/J83)</f>
        <v>1.6674050345328972</v>
      </c>
      <c r="T83" s="23">
        <f>IF(OR(K83="",L83=""),"",K83/L83*365)</f>
        <v>69.94436683308129</v>
      </c>
      <c r="U83" s="20">
        <f>IF(OR(M83="",L83=""),"",M83/L83)</f>
        <v>0.03821315160381061</v>
      </c>
      <c r="V83" s="8">
        <f>IF(ISTEXT(C83),"글자 섞임",ROUND(C83*VLOOKUP(N83,'환율_기준일'!$A$4:$E$7,5,FALSE)/'환율_기준일'!$E$4,2))</f>
        <v>70114.09</v>
      </c>
      <c r="W83" s="7">
        <f>IF(ISNUMBER(V83),IF(V83&gt;F83*10,1,0),"")</f>
        <v>0</v>
      </c>
      <c r="X83" s="7" t="str">
        <f>IF(Q83=1,COUNTIF($Q$2:Q83,1),"")</f>
        <v/>
      </c>
    </row>
    <row r="84">
      <c r="A84" s="16" t="inlineStr">
        <is>
          <t>B083</t>
        </is>
      </c>
      <c r="B84" s="16" t="inlineStr">
        <is>
          <t>USD</t>
        </is>
      </c>
      <c r="C84" s="16" t="inlineStr">
        <is>
          <t>2,200</t>
        </is>
      </c>
      <c r="D84" s="15" t="n">
        <v>0</v>
      </c>
      <c r="E84" s="15" t="n">
        <v>0</v>
      </c>
      <c r="F84" s="15" t="n">
        <v>10000</v>
      </c>
      <c r="G84" s="15" t="n">
        <v>2210000</v>
      </c>
      <c r="H84" s="15" t="n">
        <v>2408000</v>
      </c>
      <c r="I84" s="15" t="n">
        <v>4587000</v>
      </c>
      <c r="J84" s="15" t="n">
        <v>1104000</v>
      </c>
      <c r="K84" s="15" t="n">
        <v>1053000</v>
      </c>
      <c r="L84" s="15" t="n">
        <v>4578000</v>
      </c>
      <c r="M84" s="15" t="n">
        <v>-195000</v>
      </c>
      <c r="N84" s="7" t="str">
        <f>IFERROR(VLOOKUP(TRIM(B84),'확인표_A'!$A$6:$B$14,2,FALSE),"확인 필요")</f>
        <v>USD</v>
      </c>
      <c r="O84" s="7">
        <f>SUMPRODUCT(--ISTEXT(C84:E84))</f>
        <v>1</v>
      </c>
      <c r="P84" s="7">
        <f>IF(OR(G84="",H84="",I84="",J84="",L84=""),1,0)</f>
        <v>0</v>
      </c>
      <c r="Q84" s="7">
        <f>IF(AND(J84&lt;&gt;"",J84&lt;=0),1,0)</f>
        <v>0</v>
      </c>
      <c r="R84" s="20">
        <f>IF(OR(G84="",H84=""),"",G84/H84)</f>
        <v>0.9177740863787376</v>
      </c>
      <c r="S84" s="20">
        <f>IF(OR(I84="",J84="",Q84=1),"",I84/J84)</f>
        <v>4.154891304347826</v>
      </c>
      <c r="T84" s="23">
        <f>IF(OR(K84="",L84=""),"",K84/L84*365)</f>
        <v>83.95478374836173</v>
      </c>
      <c r="U84" s="20">
        <f>IF(OR(M84="",L84=""),"",M84/L84)</f>
        <v>-0.04259501965923984</v>
      </c>
      <c r="V84" s="8" t="str">
        <f>IF(ISTEXT(C84),"글자 섞임",ROUND(C84*VLOOKUP(N84,'환율_기준일'!$A$4:$E$7,5,FALSE)/'환율_기준일'!$E$4,2))</f>
        <v>글자 섞임</v>
      </c>
      <c r="W84" s="7" t="str">
        <f>IF(ISNUMBER(V84),IF(V84&gt;F84*10,1,0),"")</f>
        <v/>
      </c>
      <c r="X84" s="7" t="str">
        <f>IF(Q84=1,COUNTIF($Q$2:Q84,1),"")</f>
        <v/>
      </c>
    </row>
    <row r="85">
      <c r="A85" s="16" t="inlineStr">
        <is>
          <t>B084</t>
        </is>
      </c>
      <c r="B85" s="16" t="inlineStr">
        <is>
          <t>euro</t>
        </is>
      </c>
      <c r="C85" s="15" t="n">
        <v>23200</v>
      </c>
      <c r="D85" s="15" t="n">
        <v>23200</v>
      </c>
      <c r="E85" s="15" t="n">
        <v>0</v>
      </c>
      <c r="F85" s="15" t="n">
        <v>110000</v>
      </c>
      <c r="G85" s="15" t="n">
        <v>155271000</v>
      </c>
      <c r="H85" s="15" t="n">
        <v>63601000</v>
      </c>
      <c r="I85" s="15" t="n">
        <v>113895000</v>
      </c>
      <c r="J85" s="15" t="n">
        <v>278816000</v>
      </c>
      <c r="K85" s="15" t="n">
        <v>74368000</v>
      </c>
      <c r="L85" s="15" t="n">
        <v>530436000</v>
      </c>
      <c r="M85" s="15" t="n">
        <v>74685000</v>
      </c>
      <c r="N85" s="7" t="str">
        <f>IFERROR(VLOOKUP(TRIM(B85),'확인표_A'!$A$6:$B$14,2,FALSE),"확인 필요")</f>
        <v>EUR</v>
      </c>
      <c r="O85" s="7">
        <f>SUMPRODUCT(--ISTEXT(C85:E85))</f>
        <v>0</v>
      </c>
      <c r="P85" s="7">
        <f>IF(OR(G85="",H85="",I85="",J85="",L85=""),1,0)</f>
        <v>0</v>
      </c>
      <c r="Q85" s="7">
        <f>IF(AND(J85&lt;&gt;"",J85&lt;=0),1,0)</f>
        <v>0</v>
      </c>
      <c r="R85" s="20">
        <f>IF(OR(G85="",H85=""),"",G85/H85)</f>
        <v>2.441329538843729</v>
      </c>
      <c r="S85" s="20">
        <f>IF(OR(I85="",J85="",Q85=1),"",I85/J85)</f>
        <v>0.4084952083094227</v>
      </c>
      <c r="T85" s="23">
        <f>IF(OR(K85="",L85=""),"",K85/L85*365)</f>
        <v>51.17360058517898</v>
      </c>
      <c r="U85" s="20">
        <f>IF(OR(M85="",L85=""),"",M85/L85)</f>
        <v>0.14079926701807569</v>
      </c>
      <c r="V85" s="8">
        <f>IF(ISTEXT(C85),"글자 섞임",ROUND(C85*VLOOKUP(N85,'환율_기준일'!$A$4:$E$7,5,FALSE)/'환율_기준일'!$E$4,2))</f>
        <v>26951.51</v>
      </c>
      <c r="W85" s="7">
        <f>IF(ISNUMBER(V85),IF(V85&gt;F85*10,1,0),"")</f>
        <v>0</v>
      </c>
      <c r="X85" s="7" t="str">
        <f>IF(Q85=1,COUNTIF($Q$2:Q85,1),"")</f>
        <v/>
      </c>
    </row>
    <row r="86">
      <c r="A86" s="16" t="inlineStr">
        <is>
          <t>B085</t>
        </is>
      </c>
      <c r="B86" s="16" t="inlineStr">
        <is>
          <t>USD</t>
        </is>
      </c>
      <c r="C86" s="15" t="n">
        <v>103500</v>
      </c>
      <c r="D86" s="15" t="n">
        <v>103500</v>
      </c>
      <c r="E86" s="15" t="n">
        <v>0</v>
      </c>
      <c r="F86" s="15" t="n">
        <v>70000</v>
      </c>
      <c r="G86" s="15" t="n">
        <v>9462000</v>
      </c>
      <c r="H86" s="15" t="n">
        <v>3926000</v>
      </c>
      <c r="I86" s="15" t="n">
        <v>6206000</v>
      </c>
      <c r="J86" s="15" t="n">
        <v>13491000</v>
      </c>
      <c r="K86" s="15" t="n">
        <v>5018000</v>
      </c>
      <c r="L86" s="15" t="n">
        <v>48200000</v>
      </c>
      <c r="M86" s="15" t="n">
        <v>7037000</v>
      </c>
      <c r="N86" s="7" t="str">
        <f>IFERROR(VLOOKUP(TRIM(B86),'확인표_A'!$A$6:$B$14,2,FALSE),"확인 필요")</f>
        <v>USD</v>
      </c>
      <c r="O86" s="7">
        <f>SUMPRODUCT(--ISTEXT(C86:E86))</f>
        <v>0</v>
      </c>
      <c r="P86" s="7">
        <f>IF(OR(G86="",H86="",I86="",J86="",L86=""),1,0)</f>
        <v>0</v>
      </c>
      <c r="Q86" s="7">
        <f>IF(AND(J86&lt;&gt;"",J86&lt;=0),1,0)</f>
        <v>0</v>
      </c>
      <c r="R86" s="20">
        <f>IF(OR(G86="",H86=""),"",G86/H86)</f>
        <v>2.4100866021395824</v>
      </c>
      <c r="S86" s="20">
        <f>IF(OR(I86="",J86="",Q86=1),"",I86/J86)</f>
        <v>0.46001037728856276</v>
      </c>
      <c r="T86" s="23">
        <f>IF(OR(K86="",L86=""),"",K86/L86*365)</f>
        <v>37.999377593361</v>
      </c>
      <c r="U86" s="20">
        <f>IF(OR(M86="",L86=""),"",M86/L86)</f>
        <v>0.14599585062240664</v>
      </c>
      <c r="V86" s="8">
        <f>IF(ISTEXT(C86),"글자 섞임",ROUND(C86*VLOOKUP(N86,'환율_기준일'!$A$4:$E$7,5,FALSE)/'환율_기준일'!$E$4,2))</f>
        <v>103500</v>
      </c>
      <c r="W86" s="7">
        <f>IF(ISNUMBER(V86),IF(V86&gt;F86*10,1,0),"")</f>
        <v>0</v>
      </c>
      <c r="X86" s="7" t="str">
        <f>IF(Q86=1,COUNTIF($Q$2:Q86,1),"")</f>
        <v/>
      </c>
    </row>
    <row r="87">
      <c r="A87" s="16" t="inlineStr">
        <is>
          <t>B086</t>
        </is>
      </c>
      <c r="B87" s="16" t="inlineStr">
        <is>
          <t>EUR</t>
        </is>
      </c>
      <c r="C87" s="16" t="inlineStr">
        <is>
          <t>EUR 143,620</t>
        </is>
      </c>
      <c r="D87" s="15" t="n">
        <v>143620</v>
      </c>
      <c r="E87" s="15" t="n">
        <v>0</v>
      </c>
      <c r="F87" s="15" t="n">
        <v>250000</v>
      </c>
      <c r="G87" s="15" t="n">
        <v>147242000</v>
      </c>
      <c r="H87" s="15" t="n">
        <v>60715000</v>
      </c>
      <c r="I87" s="15" t="n">
        <v>76320000</v>
      </c>
      <c r="J87" s="15" t="n">
        <v>71730000</v>
      </c>
      <c r="K87" s="15" t="n">
        <v>65076000</v>
      </c>
      <c r="L87" s="15" t="n">
        <v>412770000</v>
      </c>
      <c r="M87" s="15" t="n">
        <v>71817000</v>
      </c>
      <c r="N87" s="7" t="str">
        <f>IFERROR(VLOOKUP(TRIM(B87),'확인표_A'!$A$6:$B$14,2,FALSE),"확인 필요")</f>
        <v>EUR</v>
      </c>
      <c r="O87" s="7">
        <f>SUMPRODUCT(--ISTEXT(C87:E87))</f>
        <v>1</v>
      </c>
      <c r="P87" s="7">
        <f>IF(OR(G87="",H87="",I87="",J87="",L87=""),1,0)</f>
        <v>0</v>
      </c>
      <c r="Q87" s="7">
        <f>IF(AND(J87&lt;&gt;"",J87&lt;=0),1,0)</f>
        <v>0</v>
      </c>
      <c r="R87" s="20">
        <f>IF(OR(G87="",H87=""),"",G87/H87)</f>
        <v>2.425133821955036</v>
      </c>
      <c r="S87" s="20">
        <f>IF(OR(I87="",J87="",Q87=1),"",I87/J87)</f>
        <v>1.0639899623588456</v>
      </c>
      <c r="T87" s="23">
        <f>IF(OR(K87="",L87=""),"",K87/L87*365)</f>
        <v>57.54473435569445</v>
      </c>
      <c r="U87" s="20">
        <f>IF(OR(M87="",L87=""),"",M87/L87)</f>
        <v>0.1739879351697071</v>
      </c>
      <c r="V87" s="8" t="str">
        <f>IF(ISTEXT(C87),"글자 섞임",ROUND(C87*VLOOKUP(N87,'환율_기준일'!$A$4:$E$7,5,FALSE)/'환율_기준일'!$E$4,2))</f>
        <v>글자 섞임</v>
      </c>
      <c r="W87" s="7" t="str">
        <f>IF(ISNUMBER(V87),IF(V87&gt;F87*10,1,0),"")</f>
        <v/>
      </c>
      <c r="X87" s="7" t="str">
        <f>IF(Q87=1,COUNTIF($Q$2:Q87,1),"")</f>
        <v/>
      </c>
    </row>
    <row r="88">
      <c r="A88" s="16" t="inlineStr">
        <is>
          <t>B087</t>
        </is>
      </c>
      <c r="B88" s="16" t="inlineStr">
        <is>
          <t>USD</t>
        </is>
      </c>
      <c r="C88" s="15" t="n">
        <v>71620</v>
      </c>
      <c r="D88" s="15" t="n">
        <v>31048</v>
      </c>
      <c r="E88" s="15" t="n">
        <v>40572</v>
      </c>
      <c r="F88" s="15" t="n">
        <v>150000</v>
      </c>
      <c r="G88" s="15" t="n">
        <v>168777000</v>
      </c>
      <c r="H88" s="15" t="n">
        <v>216033000</v>
      </c>
      <c r="I88" s="15" t="n">
        <v>306822000</v>
      </c>
      <c r="J88" s="15" t="n">
        <v>75727000</v>
      </c>
      <c r="K88" s="15" t="n">
        <v>89592000</v>
      </c>
      <c r="L88" s="15" t="n">
        <v>417625000</v>
      </c>
      <c r="M88" s="15" t="n">
        <v>-31374000</v>
      </c>
      <c r="N88" s="7" t="str">
        <f>IFERROR(VLOOKUP(TRIM(B88),'확인표_A'!$A$6:$B$14,2,FALSE),"확인 필요")</f>
        <v>USD</v>
      </c>
      <c r="O88" s="7">
        <f>SUMPRODUCT(--ISTEXT(C88:E88))</f>
        <v>0</v>
      </c>
      <c r="P88" s="7">
        <f>IF(OR(G88="",H88="",I88="",J88="",L88=""),1,0)</f>
        <v>0</v>
      </c>
      <c r="Q88" s="7">
        <f>IF(AND(J88&lt;&gt;"",J88&lt;=0),1,0)</f>
        <v>0</v>
      </c>
      <c r="R88" s="20">
        <f>IF(OR(G88="",H88=""),"",G88/H88)</f>
        <v>0.7812556414992154</v>
      </c>
      <c r="S88" s="20">
        <f>IF(OR(I88="",J88="",Q88=1),"",I88/J88)</f>
        <v>4.05168566033251</v>
      </c>
      <c r="T88" s="23">
        <f>IF(OR(K88="",L88=""),"",K88/L88*365)</f>
        <v>78.3024962586052</v>
      </c>
      <c r="U88" s="20">
        <f>IF(OR(M88="",L88=""),"",M88/L88)</f>
        <v>-0.0751248129302604</v>
      </c>
      <c r="V88" s="8">
        <f>IF(ISTEXT(C88),"글자 섞임",ROUND(C88*VLOOKUP(N88,'환율_기준일'!$A$4:$E$7,5,FALSE)/'환율_기준일'!$E$4,2))</f>
        <v>71620</v>
      </c>
      <c r="W88" s="7">
        <f>IF(ISNUMBER(V88),IF(V88&gt;F88*10,1,0),"")</f>
        <v>0</v>
      </c>
      <c r="X88" s="7" t="str">
        <f>IF(Q88=1,COUNTIF($Q$2:Q88,1),"")</f>
        <v/>
      </c>
    </row>
    <row r="89">
      <c r="A89" s="16" t="inlineStr">
        <is>
          <t>B088</t>
        </is>
      </c>
      <c r="B89" s="16" t="inlineStr">
        <is>
          <t>USD</t>
        </is>
      </c>
      <c r="C89" s="15" t="n">
        <v>0</v>
      </c>
      <c r="D89" s="15" t="n">
        <v>0</v>
      </c>
      <c r="E89" s="15" t="n">
        <v>0</v>
      </c>
      <c r="F89" s="15" t="n">
        <v>20000</v>
      </c>
      <c r="G89" s="15" t="n">
        <v>112113000</v>
      </c>
      <c r="H89" s="15" t="n">
        <v>98148000</v>
      </c>
      <c r="I89" s="15" t="n">
        <v>124717000</v>
      </c>
      <c r="J89" s="15" t="n">
        <v>46172000</v>
      </c>
      <c r="K89" s="16" t="n"/>
      <c r="L89" s="15" t="n">
        <v>260702000</v>
      </c>
      <c r="M89" s="15" t="n">
        <v>29027000</v>
      </c>
      <c r="N89" s="7" t="str">
        <f>IFERROR(VLOOKUP(TRIM(B89),'확인표_A'!$A$6:$B$14,2,FALSE),"확인 필요")</f>
        <v>USD</v>
      </c>
      <c r="O89" s="7">
        <f>SUMPRODUCT(--ISTEXT(C89:E89))</f>
        <v>0</v>
      </c>
      <c r="P89" s="7">
        <f>IF(OR(G89="",H89="",I89="",J89="",L89=""),1,0)</f>
        <v>0</v>
      </c>
      <c r="Q89" s="7">
        <f>IF(AND(J89&lt;&gt;"",J89&lt;=0),1,0)</f>
        <v>0</v>
      </c>
      <c r="R89" s="20">
        <f>IF(OR(G89="",H89=""),"",G89/H89)</f>
        <v>1.1422851204303706</v>
      </c>
      <c r="S89" s="20">
        <f>IF(OR(I89="",J89="",Q89=1),"",I89/J89)</f>
        <v>2.7011392185740277</v>
      </c>
      <c r="T89" s="23" t="str">
        <f>IF(OR(K89="",L89=""),"",K89/L89*365)</f>
        <v/>
      </c>
      <c r="U89" s="20">
        <f>IF(OR(M89="",L89=""),"",M89/L89)</f>
        <v>0.11134168514242315</v>
      </c>
      <c r="V89" s="8">
        <f>IF(ISTEXT(C89),"글자 섞임",ROUND(C89*VLOOKUP(N89,'환율_기준일'!$A$4:$E$7,5,FALSE)/'환율_기준일'!$E$4,2))</f>
        <v>0</v>
      </c>
      <c r="W89" s="7">
        <f>IF(ISNUMBER(V89),IF(V89&gt;F89*10,1,0),"")</f>
        <v>0</v>
      </c>
      <c r="X89" s="7" t="str">
        <f>IF(Q89=1,COUNTIF($Q$2:Q89,1),"")</f>
        <v/>
      </c>
    </row>
    <row r="90">
      <c r="A90" s="16" t="inlineStr">
        <is>
          <t>B089</t>
        </is>
      </c>
      <c r="B90" s="16" t="inlineStr">
        <is>
          <t>USD</t>
        </is>
      </c>
      <c r="C90" s="15" t="n">
        <v>0</v>
      </c>
      <c r="D90" s="15" t="n">
        <v>0</v>
      </c>
      <c r="E90" s="15" t="n">
        <v>0</v>
      </c>
      <c r="F90" s="15" t="n">
        <v>10000</v>
      </c>
      <c r="G90" s="15" t="n">
        <v>8289000</v>
      </c>
      <c r="H90" s="15" t="n">
        <v>6290000</v>
      </c>
      <c r="I90" s="15" t="n">
        <v>8796000</v>
      </c>
      <c r="J90" s="15" t="n">
        <v>4978000</v>
      </c>
      <c r="K90" s="15" t="n">
        <v>3931000</v>
      </c>
      <c r="L90" s="15" t="n">
        <v>11100000</v>
      </c>
      <c r="M90" s="16" t="n"/>
      <c r="N90" s="7" t="str">
        <f>IFERROR(VLOOKUP(TRIM(B90),'확인표_A'!$A$6:$B$14,2,FALSE),"확인 필요")</f>
        <v>USD</v>
      </c>
      <c r="O90" s="7">
        <f>SUMPRODUCT(--ISTEXT(C90:E90))</f>
        <v>0</v>
      </c>
      <c r="P90" s="7">
        <f>IF(OR(G90="",H90="",I90="",J90="",L90=""),1,0)</f>
        <v>0</v>
      </c>
      <c r="Q90" s="7">
        <f>IF(AND(J90&lt;&gt;"",J90&lt;=0),1,0)</f>
        <v>0</v>
      </c>
      <c r="R90" s="20">
        <f>IF(OR(G90="",H90=""),"",G90/H90)</f>
        <v>1.317806041335453</v>
      </c>
      <c r="S90" s="20">
        <f>IF(OR(I90="",J90="",Q90=1),"",I90/J90)</f>
        <v>1.766974688629972</v>
      </c>
      <c r="T90" s="23">
        <f>IF(OR(K90="",L90=""),"",K90/L90*365)</f>
        <v>129.2626126126126</v>
      </c>
      <c r="U90" s="20" t="str">
        <f>IF(OR(M90="",L90=""),"",M90/L90)</f>
        <v/>
      </c>
      <c r="V90" s="8">
        <f>IF(ISTEXT(C90),"글자 섞임",ROUND(C90*VLOOKUP(N90,'환율_기준일'!$A$4:$E$7,5,FALSE)/'환율_기준일'!$E$4,2))</f>
        <v>0</v>
      </c>
      <c r="W90" s="7">
        <f>IF(ISNUMBER(V90),IF(V90&gt;F90*10,1,0),"")</f>
        <v>0</v>
      </c>
      <c r="X90" s="7" t="str">
        <f>IF(Q90=1,COUNTIF($Q$2:Q90,1),"")</f>
        <v/>
      </c>
    </row>
    <row r="91">
      <c r="A91" s="16" t="inlineStr">
        <is>
          <t>B090</t>
        </is>
      </c>
      <c r="B91" s="16" t="inlineStr">
        <is>
          <t>USD</t>
        </is>
      </c>
      <c r="C91" s="15" t="n">
        <v>0</v>
      </c>
      <c r="D91" s="15" t="n">
        <v>0</v>
      </c>
      <c r="E91" s="15" t="n">
        <v>0</v>
      </c>
      <c r="F91" s="15" t="n">
        <v>10000</v>
      </c>
      <c r="G91" s="15" t="n">
        <v>3743000</v>
      </c>
      <c r="H91" s="15" t="n">
        <v>2636000</v>
      </c>
      <c r="I91" s="15" t="n">
        <v>4491000</v>
      </c>
      <c r="J91" s="15" t="n">
        <v>1712000</v>
      </c>
      <c r="K91" s="15" t="n">
        <v>1430000</v>
      </c>
      <c r="L91" s="15" t="n">
        <v>8275000</v>
      </c>
      <c r="M91" s="15" t="n">
        <v>174000</v>
      </c>
      <c r="N91" s="7" t="str">
        <f>IFERROR(VLOOKUP(TRIM(B91),'확인표_A'!$A$6:$B$14,2,FALSE),"확인 필요")</f>
        <v>USD</v>
      </c>
      <c r="O91" s="7">
        <f>SUMPRODUCT(--ISTEXT(C91:E91))</f>
        <v>0</v>
      </c>
      <c r="P91" s="7">
        <f>IF(OR(G91="",H91="",I91="",J91="",L91=""),1,0)</f>
        <v>0</v>
      </c>
      <c r="Q91" s="7">
        <f>IF(AND(J91&lt;&gt;"",J91&lt;=0),1,0)</f>
        <v>0</v>
      </c>
      <c r="R91" s="20">
        <f>IF(OR(G91="",H91=""),"",G91/H91)</f>
        <v>1.4199544764795144</v>
      </c>
      <c r="S91" s="20">
        <f>IF(OR(I91="",J91="",Q91=1),"",I91/J91)</f>
        <v>2.623247663551402</v>
      </c>
      <c r="T91" s="23">
        <f>IF(OR(K91="",L91=""),"",K91/L91*365)</f>
        <v>63.07552870090634</v>
      </c>
      <c r="U91" s="20">
        <f>IF(OR(M91="",L91=""),"",M91/L91)</f>
        <v>0.021027190332326286</v>
      </c>
      <c r="V91" s="8">
        <f>IF(ISTEXT(C91),"글자 섞임",ROUND(C91*VLOOKUP(N91,'환율_기준일'!$A$4:$E$7,5,FALSE)/'환율_기준일'!$E$4,2))</f>
        <v>0</v>
      </c>
      <c r="W91" s="7">
        <f>IF(ISNUMBER(V91),IF(V91&gt;F91*10,1,0),"")</f>
        <v>0</v>
      </c>
      <c r="X91" s="7" t="str">
        <f>IF(Q91=1,COUNTIF($Q$2:Q91,1),"")</f>
        <v/>
      </c>
    </row>
    <row r="92">
      <c r="A92" s="16" t="inlineStr">
        <is>
          <t>B091</t>
        </is>
      </c>
      <c r="B92" s="16" t="inlineStr">
        <is>
          <t>EUR</t>
        </is>
      </c>
      <c r="C92" s="15" t="n">
        <v>7980</v>
      </c>
      <c r="D92" s="16" t="inlineStr">
        <is>
          <t>7,980</t>
        </is>
      </c>
      <c r="E92" s="15" t="n">
        <v>0</v>
      </c>
      <c r="F92" s="15" t="n">
        <v>20000</v>
      </c>
      <c r="G92" s="15" t="n">
        <v>2944000</v>
      </c>
      <c r="H92" s="15" t="n">
        <v>1729000</v>
      </c>
      <c r="I92" s="15" t="n">
        <v>2987000</v>
      </c>
      <c r="J92" s="15" t="n">
        <v>2406000</v>
      </c>
      <c r="K92" s="15" t="n">
        <v>1048000</v>
      </c>
      <c r="L92" s="15" t="n">
        <v>5745000</v>
      </c>
      <c r="M92" s="15" t="n">
        <v>562000</v>
      </c>
      <c r="N92" s="7" t="str">
        <f>IFERROR(VLOOKUP(TRIM(B92),'확인표_A'!$A$6:$B$14,2,FALSE),"확인 필요")</f>
        <v>EUR</v>
      </c>
      <c r="O92" s="7">
        <f>SUMPRODUCT(--ISTEXT(C92:E92))</f>
        <v>1</v>
      </c>
      <c r="P92" s="7">
        <f>IF(OR(G92="",H92="",I92="",J92="",L92=""),1,0)</f>
        <v>0</v>
      </c>
      <c r="Q92" s="7">
        <f>IF(AND(J92&lt;&gt;"",J92&lt;=0),1,0)</f>
        <v>0</v>
      </c>
      <c r="R92" s="20">
        <f>IF(OR(G92="",H92=""),"",G92/H92)</f>
        <v>1.7027183342972816</v>
      </c>
      <c r="S92" s="20">
        <f>IF(OR(I92="",J92="",Q92=1),"",I92/J92)</f>
        <v>1.2414796342477141</v>
      </c>
      <c r="T92" s="23">
        <f>IF(OR(K92="",L92=""),"",K92/L92*365)</f>
        <v>66.58311575282855</v>
      </c>
      <c r="U92" s="20">
        <f>IF(OR(M92="",L92=""),"",M92/L92)</f>
        <v>0.09782419495213229</v>
      </c>
      <c r="V92" s="8">
        <f>IF(ISTEXT(C92),"글자 섞임",ROUND(C92*VLOOKUP(N92,'환율_기준일'!$A$4:$E$7,5,FALSE)/'환율_기준일'!$E$4,2))</f>
        <v>9270.39</v>
      </c>
      <c r="W92" s="7">
        <f>IF(ISNUMBER(V92),IF(V92&gt;F92*10,1,0),"")</f>
        <v>0</v>
      </c>
      <c r="X92" s="7" t="str">
        <f>IF(Q92=1,COUNTIF($Q$2:Q92,1),"")</f>
        <v/>
      </c>
    </row>
    <row r="93">
      <c r="A93" s="16" t="inlineStr">
        <is>
          <t>B092</t>
        </is>
      </c>
      <c r="B93" s="16" t="inlineStr">
        <is>
          <t>EUR</t>
        </is>
      </c>
      <c r="C93" s="15" t="n">
        <v>2436</v>
      </c>
      <c r="D93" s="15" t="n">
        <v>2436</v>
      </c>
      <c r="E93" s="15" t="n">
        <v>0</v>
      </c>
      <c r="F93" s="15" t="n">
        <v>10000</v>
      </c>
      <c r="G93" s="15" t="n">
        <v>8105000</v>
      </c>
      <c r="H93" s="15" t="n">
        <v>7033000</v>
      </c>
      <c r="I93" s="15" t="n">
        <v>9026000</v>
      </c>
      <c r="J93" s="15" t="n">
        <v>863000</v>
      </c>
      <c r="K93" s="15" t="n">
        <v>2702000</v>
      </c>
      <c r="L93" s="15" t="n">
        <v>7605000</v>
      </c>
      <c r="M93" s="15" t="n">
        <v>-269000</v>
      </c>
      <c r="N93" s="7" t="str">
        <f>IFERROR(VLOOKUP(TRIM(B93),'확인표_A'!$A$6:$B$14,2,FALSE),"확인 필요")</f>
        <v>EUR</v>
      </c>
      <c r="O93" s="7">
        <f>SUMPRODUCT(--ISTEXT(C93:E93))</f>
        <v>0</v>
      </c>
      <c r="P93" s="7">
        <f>IF(OR(G93="",H93="",I93="",J93="",L93=""),1,0)</f>
        <v>0</v>
      </c>
      <c r="Q93" s="7">
        <f>IF(AND(J93&lt;&gt;"",J93&lt;=0),1,0)</f>
        <v>0</v>
      </c>
      <c r="R93" s="20">
        <f>IF(OR(G93="",H93=""),"",G93/H93)</f>
        <v>1.1524242855111617</v>
      </c>
      <c r="S93" s="20">
        <f>IF(OR(I93="",J93="",Q93=1),"",I93/J93)</f>
        <v>10.458864426419467</v>
      </c>
      <c r="T93" s="23">
        <f>IF(OR(K93="",L93=""),"",K93/L93*365)</f>
        <v>129.68178829717291</v>
      </c>
      <c r="U93" s="20">
        <f>IF(OR(M93="",L93=""),"",M93/L93)</f>
        <v>-0.03537146614069691</v>
      </c>
      <c r="V93" s="8">
        <f>IF(ISTEXT(C93),"글자 섞임",ROUND(C93*VLOOKUP(N93,'환율_기준일'!$A$4:$E$7,5,FALSE)/'환율_기준일'!$E$4,2))</f>
        <v>2829.91</v>
      </c>
      <c r="W93" s="7">
        <f>IF(ISNUMBER(V93),IF(V93&gt;F93*10,1,0),"")</f>
        <v>0</v>
      </c>
      <c r="X93" s="7" t="str">
        <f>IF(Q93=1,COUNTIF($Q$2:Q93,1),"")</f>
        <v/>
      </c>
    </row>
    <row r="94">
      <c r="A94" s="16" t="inlineStr">
        <is>
          <t>B093</t>
        </is>
      </c>
      <c r="B94" s="16" t="inlineStr">
        <is>
          <t>USD</t>
        </is>
      </c>
      <c r="C94" s="15" t="n">
        <v>0</v>
      </c>
      <c r="D94" s="15" t="n">
        <v>0</v>
      </c>
      <c r="E94" s="15" t="n">
        <v>0</v>
      </c>
      <c r="F94" s="15" t="n">
        <v>80000</v>
      </c>
      <c r="G94" s="16" t="n"/>
      <c r="H94" s="16" t="n"/>
      <c r="I94" s="16" t="n"/>
      <c r="J94" s="16" t="n"/>
      <c r="K94" s="16" t="n"/>
      <c r="L94" s="16" t="n"/>
      <c r="M94" s="16" t="n"/>
      <c r="N94" s="7" t="str">
        <f>IFERROR(VLOOKUP(TRIM(B94),'확인표_A'!$A$6:$B$14,2,FALSE),"확인 필요")</f>
        <v>USD</v>
      </c>
      <c r="O94" s="7">
        <f>SUMPRODUCT(--ISTEXT(C94:E94))</f>
        <v>0</v>
      </c>
      <c r="P94" s="7">
        <f>IF(OR(G94="",H94="",I94="",J94="",L94=""),1,0)</f>
        <v>1</v>
      </c>
      <c r="Q94" s="7">
        <f>IF(AND(J94&lt;&gt;"",J94&lt;=0),1,0)</f>
        <v>0</v>
      </c>
      <c r="R94" s="20" t="str">
        <f>IF(OR(G94="",H94=""),"",G94/H94)</f>
        <v/>
      </c>
      <c r="S94" s="20" t="str">
        <f>IF(OR(I94="",J94="",Q94=1),"",I94/J94)</f>
        <v/>
      </c>
      <c r="T94" s="23" t="str">
        <f>IF(OR(K94="",L94=""),"",K94/L94*365)</f>
        <v/>
      </c>
      <c r="U94" s="20" t="str">
        <f>IF(OR(M94="",L94=""),"",M94/L94)</f>
        <v/>
      </c>
      <c r="V94" s="8">
        <f>IF(ISTEXT(C94),"글자 섞임",ROUND(C94*VLOOKUP(N94,'환율_기준일'!$A$4:$E$7,5,FALSE)/'환율_기준일'!$E$4,2))</f>
        <v>0</v>
      </c>
      <c r="W94" s="7">
        <f>IF(ISNUMBER(V94),IF(V94&gt;F94*10,1,0),"")</f>
        <v>0</v>
      </c>
      <c r="X94" s="7" t="str">
        <f>IF(Q94=1,COUNTIF($Q$2:Q94,1),"")</f>
        <v/>
      </c>
    </row>
    <row r="95">
      <c r="A95" s="16" t="inlineStr">
        <is>
          <t>B094</t>
        </is>
      </c>
      <c r="B95" s="16" t="inlineStr">
        <is>
          <t>USD</t>
        </is>
      </c>
      <c r="C95" s="15" t="n">
        <v>23920</v>
      </c>
      <c r="D95" s="15" t="n">
        <v>23920</v>
      </c>
      <c r="E95" s="15" t="n">
        <v>0</v>
      </c>
      <c r="F95" s="15" t="n">
        <v>20000</v>
      </c>
      <c r="G95" s="15" t="n">
        <v>18645000</v>
      </c>
      <c r="H95" s="15" t="n">
        <v>10071000</v>
      </c>
      <c r="I95" s="15" t="n">
        <v>17187000</v>
      </c>
      <c r="J95" s="15" t="n">
        <v>17740000</v>
      </c>
      <c r="K95" s="15" t="n">
        <v>8087000</v>
      </c>
      <c r="L95" s="15" t="n">
        <v>49932000</v>
      </c>
      <c r="M95" s="15" t="n">
        <v>7972000</v>
      </c>
      <c r="N95" s="7" t="str">
        <f>IFERROR(VLOOKUP(TRIM(B95),'확인표_A'!$A$6:$B$14,2,FALSE),"확인 필요")</f>
        <v>USD</v>
      </c>
      <c r="O95" s="7">
        <f>SUMPRODUCT(--ISTEXT(C95:E95))</f>
        <v>0</v>
      </c>
      <c r="P95" s="7">
        <f>IF(OR(G95="",H95="",I95="",J95="",L95=""),1,0)</f>
        <v>0</v>
      </c>
      <c r="Q95" s="7">
        <f>IF(AND(J95&lt;&gt;"",J95&lt;=0),1,0)</f>
        <v>0</v>
      </c>
      <c r="R95" s="20">
        <f>IF(OR(G95="",H95=""),"",G95/H95)</f>
        <v>1.8513553768245457</v>
      </c>
      <c r="S95" s="20">
        <f>IF(OR(I95="",J95="",Q95=1),"",I95/J95)</f>
        <v>0.9688275084554678</v>
      </c>
      <c r="T95" s="23">
        <f>IF(OR(K95="",L95=""),"",K95/L95*365)</f>
        <v>59.115497076023395</v>
      </c>
      <c r="U95" s="20">
        <f>IF(OR(M95="",L95=""),"",M95/L95)</f>
        <v>0.15965713370183449</v>
      </c>
      <c r="V95" s="8">
        <f>IF(ISTEXT(C95),"글자 섞임",ROUND(C95*VLOOKUP(N95,'환율_기준일'!$A$4:$E$7,5,FALSE)/'환율_기준일'!$E$4,2))</f>
        <v>23920</v>
      </c>
      <c r="W95" s="7">
        <f>IF(ISNUMBER(V95),IF(V95&gt;F95*10,1,0),"")</f>
        <v>0</v>
      </c>
      <c r="X95" s="7" t="str">
        <f>IF(Q95=1,COUNTIF($Q$2:Q95,1),"")</f>
        <v/>
      </c>
    </row>
    <row r="96">
      <c r="A96" s="16" t="inlineStr">
        <is>
          <t>B095</t>
        </is>
      </c>
      <c r="B96" s="16" t="inlineStr">
        <is>
          <t>USD</t>
        </is>
      </c>
      <c r="C96" s="15" t="n">
        <v>7700</v>
      </c>
      <c r="D96" s="15" t="n">
        <v>1540</v>
      </c>
      <c r="E96" s="15" t="n">
        <v>6160</v>
      </c>
      <c r="F96" s="15" t="n">
        <v>10000</v>
      </c>
      <c r="G96" s="15" t="n">
        <v>11693000</v>
      </c>
      <c r="H96" s="16" t="n"/>
      <c r="I96" s="15" t="n">
        <v>9578000</v>
      </c>
      <c r="J96" s="16" t="n"/>
      <c r="K96" s="15" t="n">
        <v>4496000</v>
      </c>
      <c r="L96" s="15" t="n">
        <v>20182000</v>
      </c>
      <c r="M96" s="15" t="n">
        <v>-636000</v>
      </c>
      <c r="N96" s="7" t="str">
        <f>IFERROR(VLOOKUP(TRIM(B96),'확인표_A'!$A$6:$B$14,2,FALSE),"확인 필요")</f>
        <v>USD</v>
      </c>
      <c r="O96" s="7">
        <f>SUMPRODUCT(--ISTEXT(C96:E96))</f>
        <v>0</v>
      </c>
      <c r="P96" s="7">
        <f>IF(OR(G96="",H96="",I96="",J96="",L96=""),1,0)</f>
        <v>1</v>
      </c>
      <c r="Q96" s="7">
        <f>IF(AND(J96&lt;&gt;"",J96&lt;=0),1,0)</f>
        <v>0</v>
      </c>
      <c r="R96" s="20" t="str">
        <f>IF(OR(G96="",H96=""),"",G96/H96)</f>
        <v/>
      </c>
      <c r="S96" s="20" t="str">
        <f>IF(OR(I96="",J96="",Q96=1),"",I96/J96)</f>
        <v/>
      </c>
      <c r="T96" s="23">
        <f>IF(OR(K96="",L96=""),"",K96/L96*365)</f>
        <v>81.31206025170944</v>
      </c>
      <c r="U96" s="20">
        <f>IF(OR(M96="",L96=""),"",M96/L96)</f>
        <v>-0.03151322961054405</v>
      </c>
      <c r="V96" s="8">
        <f>IF(ISTEXT(C96),"글자 섞임",ROUND(C96*VLOOKUP(N96,'환율_기준일'!$A$4:$E$7,5,FALSE)/'환율_기준일'!$E$4,2))</f>
        <v>7700</v>
      </c>
      <c r="W96" s="7">
        <f>IF(ISNUMBER(V96),IF(V96&gt;F96*10,1,0),"")</f>
        <v>0</v>
      </c>
      <c r="X96" s="7" t="str">
        <f>IF(Q96=1,COUNTIF($Q$2:Q96,1),"")</f>
        <v/>
      </c>
    </row>
    <row r="97">
      <c r="A97" s="16" t="inlineStr">
        <is>
          <t>B096</t>
        </is>
      </c>
      <c r="B97" s="16" t="inlineStr">
        <is>
          <t>USD</t>
        </is>
      </c>
      <c r="C97" s="15" t="n">
        <v>7930</v>
      </c>
      <c r="D97" s="15" t="n">
        <v>7930</v>
      </c>
      <c r="E97" s="15" t="n">
        <v>0</v>
      </c>
      <c r="F97" s="15" t="n">
        <v>60000</v>
      </c>
      <c r="G97" s="16" t="n"/>
      <c r="H97" s="16" t="n"/>
      <c r="I97" s="16" t="n"/>
      <c r="J97" s="16" t="n"/>
      <c r="K97" s="16" t="n"/>
      <c r="L97" s="16" t="n"/>
      <c r="M97" s="16" t="n"/>
      <c r="N97" s="7" t="str">
        <f>IFERROR(VLOOKUP(TRIM(B97),'확인표_A'!$A$6:$B$14,2,FALSE),"확인 필요")</f>
        <v>USD</v>
      </c>
      <c r="O97" s="7">
        <f>SUMPRODUCT(--ISTEXT(C97:E97))</f>
        <v>0</v>
      </c>
      <c r="P97" s="7">
        <f>IF(OR(G97="",H97="",I97="",J97="",L97=""),1,0)</f>
        <v>1</v>
      </c>
      <c r="Q97" s="7">
        <f>IF(AND(J97&lt;&gt;"",J97&lt;=0),1,0)</f>
        <v>0</v>
      </c>
      <c r="R97" s="20" t="str">
        <f>IF(OR(G97="",H97=""),"",G97/H97)</f>
        <v/>
      </c>
      <c r="S97" s="20" t="str">
        <f>IF(OR(I97="",J97="",Q97=1),"",I97/J97)</f>
        <v/>
      </c>
      <c r="T97" s="23" t="str">
        <f>IF(OR(K97="",L97=""),"",K97/L97*365)</f>
        <v/>
      </c>
      <c r="U97" s="20" t="str">
        <f>IF(OR(M97="",L97=""),"",M97/L97)</f>
        <v/>
      </c>
      <c r="V97" s="8">
        <f>IF(ISTEXT(C97),"글자 섞임",ROUND(C97*VLOOKUP(N97,'환율_기준일'!$A$4:$E$7,5,FALSE)/'환율_기준일'!$E$4,2))</f>
        <v>7930</v>
      </c>
      <c r="W97" s="7">
        <f>IF(ISNUMBER(V97),IF(V97&gt;F97*10,1,0),"")</f>
        <v>0</v>
      </c>
      <c r="X97" s="7" t="str">
        <f>IF(Q97=1,COUNTIF($Q$2:Q97,1),"")</f>
        <v/>
      </c>
    </row>
    <row r="98">
      <c r="A98" s="16" t="inlineStr">
        <is>
          <t>B097</t>
        </is>
      </c>
      <c r="B98" s="16" t="inlineStr">
        <is>
          <t>USD</t>
        </is>
      </c>
      <c r="C98" s="15" t="n">
        <v>0</v>
      </c>
      <c r="D98" s="15" t="n">
        <v>0</v>
      </c>
      <c r="E98" s="15" t="n">
        <v>0</v>
      </c>
      <c r="F98" s="15" t="n">
        <v>80000</v>
      </c>
      <c r="G98" s="15" t="n">
        <v>217151000</v>
      </c>
      <c r="H98" s="15" t="n">
        <v>124704000</v>
      </c>
      <c r="I98" s="15" t="n">
        <v>214189000</v>
      </c>
      <c r="J98" s="15" t="n">
        <v>126093000</v>
      </c>
      <c r="K98" s="15" t="n">
        <v>90897000</v>
      </c>
      <c r="L98" s="15" t="n">
        <v>429741000</v>
      </c>
      <c r="M98" s="16" t="n"/>
      <c r="N98" s="7" t="str">
        <f>IFERROR(VLOOKUP(TRIM(B98),'확인표_A'!$A$6:$B$14,2,FALSE),"확인 필요")</f>
        <v>USD</v>
      </c>
      <c r="O98" s="7">
        <f>SUMPRODUCT(--ISTEXT(C98:E98))</f>
        <v>0</v>
      </c>
      <c r="P98" s="7">
        <f>IF(OR(G98="",H98="",I98="",J98="",L98=""),1,0)</f>
        <v>0</v>
      </c>
      <c r="Q98" s="7">
        <f>IF(AND(J98&lt;&gt;"",J98&lt;=0),1,0)</f>
        <v>0</v>
      </c>
      <c r="R98" s="20">
        <f>IF(OR(G98="",H98=""),"",G98/H98)</f>
        <v>1.7413314729278933</v>
      </c>
      <c r="S98" s="20">
        <f>IF(OR(I98="",J98="",Q98=1),"",I98/J98)</f>
        <v>1.698658926348013</v>
      </c>
      <c r="T98" s="23">
        <f>IF(OR(K98="",L98=""),"",K98/L98*365)</f>
        <v>77.20325731079883</v>
      </c>
      <c r="U98" s="20" t="str">
        <f>IF(OR(M98="",L98=""),"",M98/L98)</f>
        <v/>
      </c>
      <c r="V98" s="8">
        <f>IF(ISTEXT(C98),"글자 섞임",ROUND(C98*VLOOKUP(N98,'환율_기준일'!$A$4:$E$7,5,FALSE)/'환율_기준일'!$E$4,2))</f>
        <v>0</v>
      </c>
      <c r="W98" s="7">
        <f>IF(ISNUMBER(V98),IF(V98&gt;F98*10,1,0),"")</f>
        <v>0</v>
      </c>
      <c r="X98" s="7" t="str">
        <f>IF(Q98=1,COUNTIF($Q$2:Q98,1),"")</f>
        <v/>
      </c>
    </row>
    <row r="99">
      <c r="A99" s="16" t="inlineStr">
        <is>
          <t>B098</t>
        </is>
      </c>
      <c r="B99" s="16" t="inlineStr">
        <is>
          <t>USD</t>
        </is>
      </c>
      <c r="C99" s="15" t="n">
        <v>164660</v>
      </c>
      <c r="D99" s="15" t="n">
        <v>164660</v>
      </c>
      <c r="E99" s="15" t="n">
        <v>0</v>
      </c>
      <c r="F99" s="15" t="n">
        <v>130000</v>
      </c>
      <c r="G99" s="15" t="n">
        <v>210351000</v>
      </c>
      <c r="H99" s="15" t="n">
        <v>239089000</v>
      </c>
      <c r="I99" s="15" t="n">
        <v>439960000</v>
      </c>
      <c r="J99" s="15" t="n">
        <v>117360000</v>
      </c>
      <c r="K99" s="15" t="n">
        <v>73831000</v>
      </c>
      <c r="L99" s="15" t="n">
        <v>249642000</v>
      </c>
      <c r="M99" s="15" t="n">
        <v>1835000</v>
      </c>
      <c r="N99" s="7" t="str">
        <f>IFERROR(VLOOKUP(TRIM(B99),'확인표_A'!$A$6:$B$14,2,FALSE),"확인 필요")</f>
        <v>USD</v>
      </c>
      <c r="O99" s="7">
        <f>SUMPRODUCT(--ISTEXT(C99:E99))</f>
        <v>0</v>
      </c>
      <c r="P99" s="7">
        <f>IF(OR(G99="",H99="",I99="",J99="",L99=""),1,0)</f>
        <v>0</v>
      </c>
      <c r="Q99" s="7">
        <f>IF(AND(J99&lt;&gt;"",J99&lt;=0),1,0)</f>
        <v>0</v>
      </c>
      <c r="R99" s="20">
        <f>IF(OR(G99="",H99=""),"",G99/H99)</f>
        <v>0.8798020820698569</v>
      </c>
      <c r="S99" s="20">
        <f>IF(OR(I99="",J99="",Q99=1),"",I99/J99)</f>
        <v>3.7488070892978866</v>
      </c>
      <c r="T99" s="23">
        <f>IF(OR(K99="",L99=""),"",K99/L99*365)</f>
        <v>107.94784130875414</v>
      </c>
      <c r="U99" s="20">
        <f>IF(OR(M99="",L99=""),"",M99/L99)</f>
        <v>0.0073505259531649325</v>
      </c>
      <c r="V99" s="8">
        <f>IF(ISTEXT(C99),"글자 섞임",ROUND(C99*VLOOKUP(N99,'환율_기준일'!$A$4:$E$7,5,FALSE)/'환율_기준일'!$E$4,2))</f>
        <v>164660</v>
      </c>
      <c r="W99" s="7">
        <f>IF(ISNUMBER(V99),IF(V99&gt;F99*10,1,0),"")</f>
        <v>0</v>
      </c>
      <c r="X99" s="7" t="str">
        <f>IF(Q99=1,COUNTIF($Q$2:Q99,1),"")</f>
        <v/>
      </c>
    </row>
    <row r="100">
      <c r="A100" s="16" t="inlineStr">
        <is>
          <t>B099</t>
        </is>
      </c>
      <c r="B100" s="16" t="inlineStr">
        <is>
          <t>USD</t>
        </is>
      </c>
      <c r="C100" s="15" t="n">
        <v>0</v>
      </c>
      <c r="D100" s="15" t="n">
        <v>0</v>
      </c>
      <c r="E100" s="15" t="n">
        <v>0</v>
      </c>
      <c r="F100" s="15" t="n">
        <v>40000</v>
      </c>
      <c r="G100" s="16" t="n"/>
      <c r="H100" s="16" t="n"/>
      <c r="I100" s="16" t="n"/>
      <c r="J100" s="16" t="n"/>
      <c r="K100" s="16" t="n"/>
      <c r="L100" s="16" t="n"/>
      <c r="M100" s="16" t="n"/>
      <c r="N100" s="7" t="str">
        <f>IFERROR(VLOOKUP(TRIM(B100),'확인표_A'!$A$6:$B$14,2,FALSE),"확인 필요")</f>
        <v>USD</v>
      </c>
      <c r="O100" s="7">
        <f>SUMPRODUCT(--ISTEXT(C100:E100))</f>
        <v>0</v>
      </c>
      <c r="P100" s="7">
        <f>IF(OR(G100="",H100="",I100="",J100="",L100=""),1,0)</f>
        <v>1</v>
      </c>
      <c r="Q100" s="7">
        <f>IF(AND(J100&lt;&gt;"",J100&lt;=0),1,0)</f>
        <v>0</v>
      </c>
      <c r="R100" s="20" t="str">
        <f>IF(OR(G100="",H100=""),"",G100/H100)</f>
        <v/>
      </c>
      <c r="S100" s="20" t="str">
        <f>IF(OR(I100="",J100="",Q100=1),"",I100/J100)</f>
        <v/>
      </c>
      <c r="T100" s="23" t="str">
        <f>IF(OR(K100="",L100=""),"",K100/L100*365)</f>
        <v/>
      </c>
      <c r="U100" s="20" t="str">
        <f>IF(OR(M100="",L100=""),"",M100/L100)</f>
        <v/>
      </c>
      <c r="V100" s="8">
        <f>IF(ISTEXT(C100),"글자 섞임",ROUND(C100*VLOOKUP(N100,'환율_기준일'!$A$4:$E$7,5,FALSE)/'환율_기준일'!$E$4,2))</f>
        <v>0</v>
      </c>
      <c r="W100" s="7">
        <f>IF(ISNUMBER(V100),IF(V100&gt;F100*10,1,0),"")</f>
        <v>0</v>
      </c>
      <c r="X100" s="7" t="str">
        <f>IF(Q100=1,COUNTIF($Q$2:Q100,1),"")</f>
        <v/>
      </c>
    </row>
    <row r="101">
      <c r="A101" s="16" t="inlineStr">
        <is>
          <t>B100</t>
        </is>
      </c>
      <c r="B101" s="16" t="inlineStr">
        <is>
          <t>USD</t>
        </is>
      </c>
      <c r="C101" s="15" t="n">
        <v>1799</v>
      </c>
      <c r="D101" s="15" t="n">
        <v>1799</v>
      </c>
      <c r="E101" s="15" t="n">
        <v>0</v>
      </c>
      <c r="F101" s="15" t="n">
        <v>10000</v>
      </c>
      <c r="G101" s="15" t="n">
        <v>3399000</v>
      </c>
      <c r="H101" s="16" t="n"/>
      <c r="I101" s="15" t="n">
        <v>4537000</v>
      </c>
      <c r="J101" s="15" t="n">
        <v>2333000</v>
      </c>
      <c r="K101" s="15" t="n">
        <v>1519000</v>
      </c>
      <c r="L101" s="15" t="n">
        <v>7899000</v>
      </c>
      <c r="M101" s="15" t="n">
        <v>136000</v>
      </c>
      <c r="N101" s="7" t="str">
        <f>IFERROR(VLOOKUP(TRIM(B101),'확인표_A'!$A$6:$B$14,2,FALSE),"확인 필요")</f>
        <v>USD</v>
      </c>
      <c r="O101" s="7">
        <f>SUMPRODUCT(--ISTEXT(C101:E101))</f>
        <v>0</v>
      </c>
      <c r="P101" s="7">
        <f>IF(OR(G101="",H101="",I101="",J101="",L101=""),1,0)</f>
        <v>1</v>
      </c>
      <c r="Q101" s="7">
        <f>IF(AND(J101&lt;&gt;"",J101&lt;=0),1,0)</f>
        <v>0</v>
      </c>
      <c r="R101" s="20" t="str">
        <f>IF(OR(G101="",H101=""),"",G101/H101)</f>
        <v/>
      </c>
      <c r="S101" s="20">
        <f>IF(OR(I101="",J101="",Q101=1),"",I101/J101)</f>
        <v>1.944706386626661</v>
      </c>
      <c r="T101" s="23">
        <f>IF(OR(K101="",L101=""),"",K101/L101*365)</f>
        <v>70.19053044689201</v>
      </c>
      <c r="U101" s="20">
        <f>IF(OR(M101="",L101=""),"",M101/L101)</f>
        <v>0.017217369287251552</v>
      </c>
      <c r="V101" s="8">
        <f>IF(ISTEXT(C101),"글자 섞임",ROUND(C101*VLOOKUP(N101,'환율_기준일'!$A$4:$E$7,5,FALSE)/'환율_기준일'!$E$4,2))</f>
        <v>1799</v>
      </c>
      <c r="W101" s="7">
        <f>IF(ISNUMBER(V101),IF(V101&gt;F101*10,1,0),"")</f>
        <v>0</v>
      </c>
      <c r="X101" s="7" t="str">
        <f>IF(Q101=1,COUNTIF($Q$2:Q101,1),"")</f>
        <v/>
      </c>
    </row>
    <row r="102">
      <c r="A102" s="16" t="inlineStr">
        <is>
          <t>B101</t>
        </is>
      </c>
      <c r="B102" s="16" t="inlineStr">
        <is>
          <t>US$</t>
        </is>
      </c>
      <c r="C102" s="15" t="n">
        <v>41930</v>
      </c>
      <c r="D102" s="15" t="n">
        <v>33220</v>
      </c>
      <c r="E102" s="15" t="n">
        <v>8710</v>
      </c>
      <c r="F102" s="15" t="n">
        <v>110000</v>
      </c>
      <c r="G102" s="15" t="n">
        <v>43121000</v>
      </c>
      <c r="H102" s="15" t="n">
        <v>46904000</v>
      </c>
      <c r="I102" s="15" t="n">
        <v>96834000</v>
      </c>
      <c r="J102" s="15" t="n">
        <v>23683000</v>
      </c>
      <c r="K102" s="15" t="n">
        <v>21850000</v>
      </c>
      <c r="L102" s="15" t="n">
        <v>149091000</v>
      </c>
      <c r="M102" s="15" t="n">
        <v>6800000</v>
      </c>
      <c r="N102" s="7" t="str">
        <f>IFERROR(VLOOKUP(TRIM(B102),'확인표_A'!$A$6:$B$14,2,FALSE),"확인 필요")</f>
        <v>USD</v>
      </c>
      <c r="O102" s="7">
        <f>SUMPRODUCT(--ISTEXT(C102:E102))</f>
        <v>0</v>
      </c>
      <c r="P102" s="7">
        <f>IF(OR(G102="",H102="",I102="",J102="",L102=""),1,0)</f>
        <v>0</v>
      </c>
      <c r="Q102" s="7">
        <f>IF(AND(J102&lt;&gt;"",J102&lt;=0),1,0)</f>
        <v>0</v>
      </c>
      <c r="R102" s="20">
        <f>IF(OR(G102="",H102=""),"",G102/H102)</f>
        <v>0.9193458980044346</v>
      </c>
      <c r="S102" s="20">
        <f>IF(OR(I102="",J102="",Q102=1),"",I102/J102)</f>
        <v>4.088755647510872</v>
      </c>
      <c r="T102" s="23">
        <f>IF(OR(K102="",L102=""),"",K102/L102*365)</f>
        <v>53.49249787042813</v>
      </c>
      <c r="U102" s="20">
        <f>IF(OR(M102="",L102=""),"",M102/L102)</f>
        <v>0.04560972828675104</v>
      </c>
      <c r="V102" s="8">
        <f>IF(ISTEXT(C102),"글자 섞임",ROUND(C102*VLOOKUP(N102,'환율_기준일'!$A$4:$E$7,5,FALSE)/'환율_기준일'!$E$4,2))</f>
        <v>41930</v>
      </c>
      <c r="W102" s="7">
        <f>IF(ISNUMBER(V102),IF(V102&gt;F102*10,1,0),"")</f>
        <v>0</v>
      </c>
      <c r="X102" s="7" t="str">
        <f>IF(Q102=1,COUNTIF($Q$2:Q102,1),"")</f>
        <v/>
      </c>
    </row>
    <row r="103">
      <c r="A103" s="16" t="inlineStr">
        <is>
          <t>B102</t>
        </is>
      </c>
      <c r="B103" s="16" t="inlineStr">
        <is>
          <t>USD</t>
        </is>
      </c>
      <c r="C103" s="15" t="n">
        <v>0</v>
      </c>
      <c r="D103" s="15" t="n">
        <v>0</v>
      </c>
      <c r="E103" s="15" t="n">
        <v>0</v>
      </c>
      <c r="F103" s="15" t="n">
        <v>10000</v>
      </c>
      <c r="G103" s="15" t="n">
        <v>20729000</v>
      </c>
      <c r="H103" s="15" t="n">
        <v>11612000</v>
      </c>
      <c r="I103" s="15" t="n">
        <v>17101000</v>
      </c>
      <c r="J103" s="15" t="n">
        <v>39388000</v>
      </c>
      <c r="K103" s="15" t="n">
        <v>8614000</v>
      </c>
      <c r="L103" s="15" t="n">
        <v>51327000</v>
      </c>
      <c r="M103" s="15" t="n">
        <v>5811000</v>
      </c>
      <c r="N103" s="7" t="str">
        <f>IFERROR(VLOOKUP(TRIM(B103),'확인표_A'!$A$6:$B$14,2,FALSE),"확인 필요")</f>
        <v>USD</v>
      </c>
      <c r="O103" s="7">
        <f>SUMPRODUCT(--ISTEXT(C103:E103))</f>
        <v>0</v>
      </c>
      <c r="P103" s="7">
        <f>IF(OR(G103="",H103="",I103="",J103="",L103=""),1,0)</f>
        <v>0</v>
      </c>
      <c r="Q103" s="7">
        <f>IF(AND(J103&lt;&gt;"",J103&lt;=0),1,0)</f>
        <v>0</v>
      </c>
      <c r="R103" s="20">
        <f>IF(OR(G103="",H103=""),"",G103/H103)</f>
        <v>1.7851360661384774</v>
      </c>
      <c r="S103" s="20">
        <f>IF(OR(I103="",J103="",Q103=1),"",I103/J103)</f>
        <v>0.4341677668325378</v>
      </c>
      <c r="T103" s="23">
        <f>IF(OR(K103="",L103=""),"",K103/L103*365)</f>
        <v>61.256453718315896</v>
      </c>
      <c r="U103" s="20">
        <f>IF(OR(M103="",L103=""),"",M103/L103)</f>
        <v>0.11321526681863346</v>
      </c>
      <c r="V103" s="8">
        <f>IF(ISTEXT(C103),"글자 섞임",ROUND(C103*VLOOKUP(N103,'환율_기준일'!$A$4:$E$7,5,FALSE)/'환율_기준일'!$E$4,2))</f>
        <v>0</v>
      </c>
      <c r="W103" s="7">
        <f>IF(ISNUMBER(V103),IF(V103&gt;F103*10,1,0),"")</f>
        <v>0</v>
      </c>
      <c r="X103" s="7" t="str">
        <f>IF(Q103=1,COUNTIF($Q$2:Q103,1),"")</f>
        <v/>
      </c>
    </row>
    <row r="104">
      <c r="A104" s="16" t="inlineStr">
        <is>
          <t>B103</t>
        </is>
      </c>
      <c r="B104" s="16" t="inlineStr">
        <is>
          <t>USD</t>
        </is>
      </c>
      <c r="C104" s="15" t="n">
        <v>0</v>
      </c>
      <c r="D104" s="15" t="n">
        <v>0</v>
      </c>
      <c r="E104" s="15" t="n">
        <v>0</v>
      </c>
      <c r="F104" s="15" t="n">
        <v>10000</v>
      </c>
      <c r="G104" s="16" t="n"/>
      <c r="H104" s="16" t="n"/>
      <c r="I104" s="16" t="n"/>
      <c r="J104" s="16" t="n"/>
      <c r="K104" s="16" t="n"/>
      <c r="L104" s="16" t="n"/>
      <c r="M104" s="16" t="n"/>
      <c r="N104" s="7" t="str">
        <f>IFERROR(VLOOKUP(TRIM(B104),'확인표_A'!$A$6:$B$14,2,FALSE),"확인 필요")</f>
        <v>USD</v>
      </c>
      <c r="O104" s="7">
        <f>SUMPRODUCT(--ISTEXT(C104:E104))</f>
        <v>0</v>
      </c>
      <c r="P104" s="7">
        <f>IF(OR(G104="",H104="",I104="",J104="",L104=""),1,0)</f>
        <v>1</v>
      </c>
      <c r="Q104" s="7">
        <f>IF(AND(J104&lt;&gt;"",J104&lt;=0),1,0)</f>
        <v>0</v>
      </c>
      <c r="R104" s="20" t="str">
        <f>IF(OR(G104="",H104=""),"",G104/H104)</f>
        <v/>
      </c>
      <c r="S104" s="20" t="str">
        <f>IF(OR(I104="",J104="",Q104=1),"",I104/J104)</f>
        <v/>
      </c>
      <c r="T104" s="23" t="str">
        <f>IF(OR(K104="",L104=""),"",K104/L104*365)</f>
        <v/>
      </c>
      <c r="U104" s="20" t="str">
        <f>IF(OR(M104="",L104=""),"",M104/L104)</f>
        <v/>
      </c>
      <c r="V104" s="8">
        <f>IF(ISTEXT(C104),"글자 섞임",ROUND(C104*VLOOKUP(N104,'환율_기준일'!$A$4:$E$7,5,FALSE)/'환율_기준일'!$E$4,2))</f>
        <v>0</v>
      </c>
      <c r="W104" s="7">
        <f>IF(ISNUMBER(V104),IF(V104&gt;F104*10,1,0),"")</f>
        <v>0</v>
      </c>
      <c r="X104" s="7" t="str">
        <f>IF(Q104=1,COUNTIF($Q$2:Q104,1),"")</f>
        <v/>
      </c>
    </row>
    <row r="105">
      <c r="A105" s="16" t="inlineStr">
        <is>
          <t>B104</t>
        </is>
      </c>
      <c r="B105" s="16" t="inlineStr">
        <is>
          <t>usd</t>
        </is>
      </c>
      <c r="C105" s="15" t="n">
        <v>12710</v>
      </c>
      <c r="D105" s="15" t="n">
        <v>12710</v>
      </c>
      <c r="E105" s="15" t="n">
        <v>0</v>
      </c>
      <c r="F105" s="15" t="n">
        <v>30000</v>
      </c>
      <c r="G105" s="15" t="n">
        <v>2867000</v>
      </c>
      <c r="H105" s="15" t="n">
        <v>1253000</v>
      </c>
      <c r="I105" s="15" t="n">
        <v>1713000</v>
      </c>
      <c r="J105" s="15" t="n">
        <v>2312000</v>
      </c>
      <c r="K105" s="15" t="n">
        <v>1252000</v>
      </c>
      <c r="L105" s="15" t="n">
        <v>8585000</v>
      </c>
      <c r="M105" s="15" t="n">
        <v>916000</v>
      </c>
      <c r="N105" s="7" t="str">
        <f>IFERROR(VLOOKUP(TRIM(B105),'확인표_A'!$A$6:$B$14,2,FALSE),"확인 필요")</f>
        <v>USD</v>
      </c>
      <c r="O105" s="7">
        <f>SUMPRODUCT(--ISTEXT(C105:E105))</f>
        <v>0</v>
      </c>
      <c r="P105" s="7">
        <f>IF(OR(G105="",H105="",I105="",J105="",L105=""),1,0)</f>
        <v>0</v>
      </c>
      <c r="Q105" s="7">
        <f>IF(AND(J105&lt;&gt;"",J105&lt;=0),1,0)</f>
        <v>0</v>
      </c>
      <c r="R105" s="20">
        <f>IF(OR(G105="",H105=""),"",G105/H105)</f>
        <v>2.2881085395051874</v>
      </c>
      <c r="S105" s="20">
        <f>IF(OR(I105="",J105="",Q105=1),"",I105/J105)</f>
        <v>0.740916955017301</v>
      </c>
      <c r="T105" s="23">
        <f>IF(OR(K105="",L105=""),"",K105/L105*365)</f>
        <v>53.23005241700641</v>
      </c>
      <c r="U105" s="20">
        <f>IF(OR(M105="",L105=""),"",M105/L105)</f>
        <v>0.10669772859638905</v>
      </c>
      <c r="V105" s="8">
        <f>IF(ISTEXT(C105),"글자 섞임",ROUND(C105*VLOOKUP(N105,'환율_기준일'!$A$4:$E$7,5,FALSE)/'환율_기준일'!$E$4,2))</f>
        <v>12710</v>
      </c>
      <c r="W105" s="7">
        <f>IF(ISNUMBER(V105),IF(V105&gt;F105*10,1,0),"")</f>
        <v>0</v>
      </c>
      <c r="X105" s="7" t="str">
        <f>IF(Q105=1,COUNTIF($Q$2:Q105,1),"")</f>
        <v/>
      </c>
    </row>
    <row r="106">
      <c r="A106" s="16" t="inlineStr">
        <is>
          <t>B105</t>
        </is>
      </c>
      <c r="B106" s="16" t="inlineStr">
        <is>
          <t>yen</t>
        </is>
      </c>
      <c r="C106" s="15" t="n">
        <v>3678000</v>
      </c>
      <c r="D106" s="15" t="n">
        <v>3678000</v>
      </c>
      <c r="E106" s="15" t="n">
        <v>0</v>
      </c>
      <c r="F106" s="15" t="n">
        <v>30000</v>
      </c>
      <c r="G106" s="15" t="n">
        <v>179089000</v>
      </c>
      <c r="H106" s="15" t="n">
        <v>139450000</v>
      </c>
      <c r="I106" s="15" t="n">
        <v>236611000</v>
      </c>
      <c r="J106" s="15" t="n">
        <v>152726000</v>
      </c>
      <c r="K106" s="16" t="n"/>
      <c r="L106" s="15" t="n">
        <v>219308000</v>
      </c>
      <c r="M106" s="15" t="n">
        <v>25114000</v>
      </c>
      <c r="N106" s="7" t="str">
        <f>IFERROR(VLOOKUP(TRIM(B106),'확인표_A'!$A$6:$B$14,2,FALSE),"확인 필요")</f>
        <v>JPY</v>
      </c>
      <c r="O106" s="7">
        <f>SUMPRODUCT(--ISTEXT(C106:E106))</f>
        <v>0</v>
      </c>
      <c r="P106" s="7">
        <f>IF(OR(G106="",H106="",I106="",J106="",L106=""),1,0)</f>
        <v>0</v>
      </c>
      <c r="Q106" s="7">
        <f>IF(AND(J106&lt;&gt;"",J106&lt;=0),1,0)</f>
        <v>0</v>
      </c>
      <c r="R106" s="20">
        <f>IF(OR(G106="",H106=""),"",G106/H106)</f>
        <v>1.2842524202223018</v>
      </c>
      <c r="S106" s="20">
        <f>IF(OR(I106="",J106="",Q106=1),"",I106/J106)</f>
        <v>1.549251600906198</v>
      </c>
      <c r="T106" s="23" t="str">
        <f>IF(OR(K106="",L106=""),"",K106/L106*365)</f>
        <v/>
      </c>
      <c r="U106" s="20">
        <f>IF(OR(M106="",L106=""),"",M106/L106)</f>
        <v>0.11451474638408084</v>
      </c>
      <c r="V106" s="8">
        <f>IF(ISTEXT(C106),"글자 섞임",ROUND(C106*VLOOKUP(N106,'환율_기준일'!$A$4:$E$7,5,FALSE)/'환율_기준일'!$E$4,2))</f>
        <v>23024.97</v>
      </c>
      <c r="W106" s="7">
        <f>IF(ISNUMBER(V106),IF(V106&gt;F106*10,1,0),"")</f>
        <v>0</v>
      </c>
      <c r="X106" s="7" t="str">
        <f>IF(Q106=1,COUNTIF($Q$2:Q106,1),"")</f>
        <v/>
      </c>
    </row>
    <row r="107">
      <c r="A107" s="16" t="inlineStr">
        <is>
          <t>B106</t>
        </is>
      </c>
      <c r="B107" s="16" t="inlineStr">
        <is>
          <t>USD</t>
        </is>
      </c>
      <c r="C107" s="15" t="n">
        <v>2070</v>
      </c>
      <c r="D107" s="15" t="n">
        <v>2070</v>
      </c>
      <c r="E107" s="15" t="n">
        <v>0</v>
      </c>
      <c r="F107" s="15" t="n">
        <v>10000</v>
      </c>
      <c r="G107" s="15" t="n">
        <v>24740000</v>
      </c>
      <c r="H107" s="15" t="n">
        <v>29835000</v>
      </c>
      <c r="I107" s="15" t="n">
        <v>49531000</v>
      </c>
      <c r="J107" s="16" t="n"/>
      <c r="K107" s="15" t="n">
        <v>9133000</v>
      </c>
      <c r="L107" s="15" t="n">
        <v>40154000</v>
      </c>
      <c r="M107" s="16" t="n"/>
      <c r="N107" s="7" t="str">
        <f>IFERROR(VLOOKUP(TRIM(B107),'확인표_A'!$A$6:$B$14,2,FALSE),"확인 필요")</f>
        <v>USD</v>
      </c>
      <c r="O107" s="7">
        <f>SUMPRODUCT(--ISTEXT(C107:E107))</f>
        <v>0</v>
      </c>
      <c r="P107" s="7">
        <f>IF(OR(G107="",H107="",I107="",J107="",L107=""),1,0)</f>
        <v>1</v>
      </c>
      <c r="Q107" s="7">
        <f>IF(AND(J107&lt;&gt;"",J107&lt;=0),1,0)</f>
        <v>0</v>
      </c>
      <c r="R107" s="20">
        <f>IF(OR(G107="",H107=""),"",G107/H107)</f>
        <v>0.8292274174627116</v>
      </c>
      <c r="S107" s="20" t="str">
        <f>IF(OR(I107="",J107="",Q107=1),"",I107/J107)</f>
        <v/>
      </c>
      <c r="T107" s="23">
        <f>IF(OR(K107="",L107=""),"",K107/L107*365)</f>
        <v>83.01900184290481</v>
      </c>
      <c r="U107" s="20" t="str">
        <f>IF(OR(M107="",L107=""),"",M107/L107)</f>
        <v/>
      </c>
      <c r="V107" s="8">
        <f>IF(ISTEXT(C107),"글자 섞임",ROUND(C107*VLOOKUP(N107,'환율_기준일'!$A$4:$E$7,5,FALSE)/'환율_기준일'!$E$4,2))</f>
        <v>2070</v>
      </c>
      <c r="W107" s="7">
        <f>IF(ISNUMBER(V107),IF(V107&gt;F107*10,1,0),"")</f>
        <v>0</v>
      </c>
      <c r="X107" s="7" t="str">
        <f>IF(Q107=1,COUNTIF($Q$2:Q107,1),"")</f>
        <v/>
      </c>
    </row>
    <row r="108">
      <c r="A108" s="16" t="inlineStr">
        <is>
          <t>B107</t>
        </is>
      </c>
      <c r="B108" s="16" t="inlineStr">
        <is>
          <t>EUR</t>
        </is>
      </c>
      <c r="C108" s="15" t="n">
        <v>36190</v>
      </c>
      <c r="D108" s="15" t="n">
        <v>36190</v>
      </c>
      <c r="E108" s="15" t="n">
        <v>0</v>
      </c>
      <c r="F108" s="15" t="n">
        <v>50000</v>
      </c>
      <c r="G108" s="15" t="n">
        <v>171666000</v>
      </c>
      <c r="H108" s="15" t="n">
        <v>92690000</v>
      </c>
      <c r="I108" s="15" t="n">
        <v>140800000</v>
      </c>
      <c r="J108" s="15" t="n">
        <v>194499000</v>
      </c>
      <c r="K108" s="15" t="n">
        <v>59432000</v>
      </c>
      <c r="L108" s="15" t="n">
        <v>434327000</v>
      </c>
      <c r="M108" s="16" t="n"/>
      <c r="N108" s="7" t="str">
        <f>IFERROR(VLOOKUP(TRIM(B108),'확인표_A'!$A$6:$B$14,2,FALSE),"확인 필요")</f>
        <v>EUR</v>
      </c>
      <c r="O108" s="7">
        <f>SUMPRODUCT(--ISTEXT(C108:E108))</f>
        <v>0</v>
      </c>
      <c r="P108" s="7">
        <f>IF(OR(G108="",H108="",I108="",J108="",L108=""),1,0)</f>
        <v>0</v>
      </c>
      <c r="Q108" s="7">
        <f>IF(AND(J108&lt;&gt;"",J108&lt;=0),1,0)</f>
        <v>0</v>
      </c>
      <c r="R108" s="20">
        <f>IF(OR(G108="",H108=""),"",G108/H108)</f>
        <v>1.8520444492394001</v>
      </c>
      <c r="S108" s="20">
        <f>IF(OR(I108="",J108="",Q108=1),"",I108/J108)</f>
        <v>0.7239111769212181</v>
      </c>
      <c r="T108" s="23">
        <f>IF(OR(K108="",L108=""),"",K108/L108*365)</f>
        <v>49.94550189143204</v>
      </c>
      <c r="U108" s="20" t="str">
        <f>IF(OR(M108="",L108=""),"",M108/L108)</f>
        <v/>
      </c>
      <c r="V108" s="8">
        <f>IF(ISTEXT(C108),"글자 섞임",ROUND(C108*VLOOKUP(N108,'환율_기준일'!$A$4:$E$7,5,FALSE)/'환율_기준일'!$E$4,2))</f>
        <v>42042.03</v>
      </c>
      <c r="W108" s="7">
        <f>IF(ISNUMBER(V108),IF(V108&gt;F108*10,1,0),"")</f>
        <v>0</v>
      </c>
      <c r="X108" s="7" t="str">
        <f>IF(Q108=1,COUNTIF($Q$2:Q108,1),"")</f>
        <v/>
      </c>
    </row>
    <row r="109">
      <c r="A109" s="16" t="inlineStr">
        <is>
          <t>B108</t>
        </is>
      </c>
      <c r="B109" s="16" t="inlineStr">
        <is>
          <t>USD</t>
        </is>
      </c>
      <c r="C109" s="15" t="n">
        <v>154779</v>
      </c>
      <c r="D109" s="15" t="n">
        <v>154779</v>
      </c>
      <c r="E109" s="15" t="n">
        <v>0</v>
      </c>
      <c r="F109" s="15" t="n">
        <v>80000</v>
      </c>
      <c r="G109" s="15" t="n">
        <v>119143000</v>
      </c>
      <c r="H109" s="15" t="n">
        <v>66246000</v>
      </c>
      <c r="I109" s="15" t="n">
        <v>103623000</v>
      </c>
      <c r="J109" s="15" t="n">
        <v>106432000</v>
      </c>
      <c r="K109" s="15" t="n">
        <v>65933000</v>
      </c>
      <c r="L109" s="15" t="n">
        <v>411388000</v>
      </c>
      <c r="M109" s="15" t="n">
        <v>13851000</v>
      </c>
      <c r="N109" s="7" t="str">
        <f>IFERROR(VLOOKUP(TRIM(B109),'확인표_A'!$A$6:$B$14,2,FALSE),"확인 필요")</f>
        <v>USD</v>
      </c>
      <c r="O109" s="7">
        <f>SUMPRODUCT(--ISTEXT(C109:E109))</f>
        <v>0</v>
      </c>
      <c r="P109" s="7">
        <f>IF(OR(G109="",H109="",I109="",J109="",L109=""),1,0)</f>
        <v>0</v>
      </c>
      <c r="Q109" s="7">
        <f>IF(AND(J109&lt;&gt;"",J109&lt;=0),1,0)</f>
        <v>0</v>
      </c>
      <c r="R109" s="20">
        <f>IF(OR(G109="",H109=""),"",G109/H109)</f>
        <v>1.7984934939468042</v>
      </c>
      <c r="S109" s="20">
        <f>IF(OR(I109="",J109="",Q109=1),"",I109/J109)</f>
        <v>0.9736075616355984</v>
      </c>
      <c r="T109" s="23">
        <f>IF(OR(K109="",L109=""),"",K109/L109*365)</f>
        <v>58.498412690695886</v>
      </c>
      <c r="U109" s="20">
        <f>IF(OR(M109="",L109=""),"",M109/L109)</f>
        <v>0.033668945132089415</v>
      </c>
      <c r="V109" s="8">
        <f>IF(ISTEXT(C109),"글자 섞임",ROUND(C109*VLOOKUP(N109,'환율_기준일'!$A$4:$E$7,5,FALSE)/'환율_기준일'!$E$4,2))</f>
        <v>154779</v>
      </c>
      <c r="W109" s="7">
        <f>IF(ISNUMBER(V109),IF(V109&gt;F109*10,1,0),"")</f>
        <v>0</v>
      </c>
      <c r="X109" s="7" t="str">
        <f>IF(Q109=1,COUNTIF($Q$2:Q109,1),"")</f>
        <v/>
      </c>
    </row>
    <row r="110">
      <c r="A110" s="16" t="inlineStr">
        <is>
          <t>B109</t>
        </is>
      </c>
      <c r="B110" s="16" t="inlineStr">
        <is>
          <t>USD</t>
        </is>
      </c>
      <c r="C110" s="15" t="n">
        <v>4150</v>
      </c>
      <c r="D110" s="15" t="n">
        <v>4150</v>
      </c>
      <c r="E110" s="15" t="n">
        <v>0</v>
      </c>
      <c r="F110" s="15" t="n">
        <v>10000</v>
      </c>
      <c r="G110" s="15" t="n">
        <v>52687000</v>
      </c>
      <c r="H110" s="15" t="n">
        <v>46898000</v>
      </c>
      <c r="I110" s="15" t="n">
        <v>79943000</v>
      </c>
      <c r="J110" s="15" t="n">
        <v>58309000</v>
      </c>
      <c r="K110" s="16" t="n"/>
      <c r="L110" s="15" t="n">
        <v>74847000</v>
      </c>
      <c r="M110" s="15" t="n">
        <v>1221000</v>
      </c>
      <c r="N110" s="7" t="str">
        <f>IFERROR(VLOOKUP(TRIM(B110),'확인표_A'!$A$6:$B$14,2,FALSE),"확인 필요")</f>
        <v>USD</v>
      </c>
      <c r="O110" s="7">
        <f>SUMPRODUCT(--ISTEXT(C110:E110))</f>
        <v>0</v>
      </c>
      <c r="P110" s="7">
        <f>IF(OR(G110="",H110="",I110="",J110="",L110=""),1,0)</f>
        <v>0</v>
      </c>
      <c r="Q110" s="7">
        <f>IF(AND(J110&lt;&gt;"",J110&lt;=0),1,0)</f>
        <v>0</v>
      </c>
      <c r="R110" s="20">
        <f>IF(OR(G110="",H110=""),"",G110/H110)</f>
        <v>1.1234380997057445</v>
      </c>
      <c r="S110" s="20">
        <f>IF(OR(I110="",J110="",Q110=1),"",I110/J110)</f>
        <v>1.3710233411651718</v>
      </c>
      <c r="T110" s="23" t="str">
        <f>IF(OR(K110="",L110=""),"",K110/L110*365)</f>
        <v/>
      </c>
      <c r="U110" s="20">
        <f>IF(OR(M110="",L110=""),"",M110/L110)</f>
        <v>0.01631327908934226</v>
      </c>
      <c r="V110" s="8">
        <f>IF(ISTEXT(C110),"글자 섞임",ROUND(C110*VLOOKUP(N110,'환율_기준일'!$A$4:$E$7,5,FALSE)/'환율_기준일'!$E$4,2))</f>
        <v>4150</v>
      </c>
      <c r="W110" s="7">
        <f>IF(ISNUMBER(V110),IF(V110&gt;F110*10,1,0),"")</f>
        <v>0</v>
      </c>
      <c r="X110" s="7" t="str">
        <f>IF(Q110=1,COUNTIF($Q$2:Q110,1),"")</f>
        <v/>
      </c>
    </row>
    <row r="111">
      <c r="A111" s="16" t="inlineStr">
        <is>
          <t>B110</t>
        </is>
      </c>
      <c r="B111" s="16" t="inlineStr">
        <is>
          <t>usd</t>
        </is>
      </c>
      <c r="C111" s="15" t="n">
        <v>35340</v>
      </c>
      <c r="D111" s="15" t="n">
        <v>35340</v>
      </c>
      <c r="E111" s="15" t="n">
        <v>0</v>
      </c>
      <c r="F111" s="15" t="n">
        <v>30000</v>
      </c>
      <c r="G111" s="15" t="n">
        <v>30573000</v>
      </c>
      <c r="H111" s="15" t="n">
        <v>17200000</v>
      </c>
      <c r="I111" s="15" t="n">
        <v>30123000</v>
      </c>
      <c r="J111" s="15" t="n">
        <v>30625000</v>
      </c>
      <c r="K111" s="15" t="n">
        <v>15395000</v>
      </c>
      <c r="L111" s="15" t="n">
        <v>75418000</v>
      </c>
      <c r="M111" s="15" t="n">
        <v>4931000</v>
      </c>
      <c r="N111" s="7" t="str">
        <f>IFERROR(VLOOKUP(TRIM(B111),'확인표_A'!$A$6:$B$14,2,FALSE),"확인 필요")</f>
        <v>USD</v>
      </c>
      <c r="O111" s="7">
        <f>SUMPRODUCT(--ISTEXT(C111:E111))</f>
        <v>0</v>
      </c>
      <c r="P111" s="7">
        <f>IF(OR(G111="",H111="",I111="",J111="",L111=""),1,0)</f>
        <v>0</v>
      </c>
      <c r="Q111" s="7">
        <f>IF(AND(J111&lt;&gt;"",J111&lt;=0),1,0)</f>
        <v>0</v>
      </c>
      <c r="R111" s="20">
        <f>IF(OR(G111="",H111=""),"",G111/H111)</f>
        <v>1.7775</v>
      </c>
      <c r="S111" s="20">
        <f>IF(OR(I111="",J111="",Q111=1),"",I111/J111)</f>
        <v>0.9836081632653061</v>
      </c>
      <c r="T111" s="23">
        <f>IF(OR(K111="",L111=""),"",K111/L111*365)</f>
        <v>74.50708053780264</v>
      </c>
      <c r="U111" s="20">
        <f>IF(OR(M111="",L111=""),"",M111/L111)</f>
        <v>0.0653822694847384</v>
      </c>
      <c r="V111" s="8">
        <f>IF(ISTEXT(C111),"글자 섞임",ROUND(C111*VLOOKUP(N111,'환율_기준일'!$A$4:$E$7,5,FALSE)/'환율_기준일'!$E$4,2))</f>
        <v>35340</v>
      </c>
      <c r="W111" s="7">
        <f>IF(ISNUMBER(V111),IF(V111&gt;F111*10,1,0),"")</f>
        <v>0</v>
      </c>
      <c r="X111" s="7" t="str">
        <f>IF(Q111=1,COUNTIF($Q$2:Q111,1),"")</f>
        <v/>
      </c>
    </row>
    <row r="112">
      <c r="A112" s="16" t="inlineStr">
        <is>
          <t>B111</t>
        </is>
      </c>
      <c r="B112" s="16" t="inlineStr">
        <is>
          <t>USD</t>
        </is>
      </c>
      <c r="C112" s="15" t="n">
        <v>31310</v>
      </c>
      <c r="D112" s="15" t="n">
        <v>31310</v>
      </c>
      <c r="E112" s="15" t="n">
        <v>0</v>
      </c>
      <c r="F112" s="15" t="n">
        <v>50000</v>
      </c>
      <c r="G112" s="15" t="n">
        <v>27563000</v>
      </c>
      <c r="H112" s="15" t="n">
        <v>42525000</v>
      </c>
      <c r="I112" s="15" t="n">
        <v>62390000</v>
      </c>
      <c r="J112" s="15" t="n">
        <v>27216000</v>
      </c>
      <c r="K112" s="15" t="n">
        <v>11590000</v>
      </c>
      <c r="L112" s="15" t="n">
        <v>60015000</v>
      </c>
      <c r="M112" s="15" t="n">
        <v>-2522000</v>
      </c>
      <c r="N112" s="7" t="str">
        <f>IFERROR(VLOOKUP(TRIM(B112),'확인표_A'!$A$6:$B$14,2,FALSE),"확인 필요")</f>
        <v>USD</v>
      </c>
      <c r="O112" s="7">
        <f>SUMPRODUCT(--ISTEXT(C112:E112))</f>
        <v>0</v>
      </c>
      <c r="P112" s="7">
        <f>IF(OR(G112="",H112="",I112="",J112="",L112=""),1,0)</f>
        <v>0</v>
      </c>
      <c r="Q112" s="7">
        <f>IF(AND(J112&lt;&gt;"",J112&lt;=0),1,0)</f>
        <v>0</v>
      </c>
      <c r="R112" s="20">
        <f>IF(OR(G112="",H112=""),"",G112/H112)</f>
        <v>0.6481599059376837</v>
      </c>
      <c r="S112" s="20">
        <f>IF(OR(I112="",J112="",Q112=1),"",I112/J112)</f>
        <v>2.29240152851264</v>
      </c>
      <c r="T112" s="23">
        <f>IF(OR(K112="",L112=""),"",K112/L112*365)</f>
        <v>70.48821128051321</v>
      </c>
      <c r="U112" s="20">
        <f>IF(OR(M112="",L112=""),"",M112/L112)</f>
        <v>-0.04202282762642673</v>
      </c>
      <c r="V112" s="8">
        <f>IF(ISTEXT(C112),"글자 섞임",ROUND(C112*VLOOKUP(N112,'환율_기준일'!$A$4:$E$7,5,FALSE)/'환율_기준일'!$E$4,2))</f>
        <v>31310</v>
      </c>
      <c r="W112" s="7">
        <f>IF(ISNUMBER(V112),IF(V112&gt;F112*10,1,0),"")</f>
        <v>0</v>
      </c>
      <c r="X112" s="7" t="str">
        <f>IF(Q112=1,COUNTIF($Q$2:Q112,1),"")</f>
        <v/>
      </c>
    </row>
    <row r="113">
      <c r="A113" s="16" t="inlineStr">
        <is>
          <t>B112</t>
        </is>
      </c>
      <c r="B113" s="16" t="inlineStr">
        <is>
          <t>US$</t>
        </is>
      </c>
      <c r="C113" s="15" t="n">
        <v>0</v>
      </c>
      <c r="D113" s="15" t="n">
        <v>0</v>
      </c>
      <c r="E113" s="15" t="n">
        <v>0</v>
      </c>
      <c r="F113" s="15" t="n">
        <v>10000</v>
      </c>
      <c r="G113" s="15" t="n">
        <v>3562000</v>
      </c>
      <c r="H113" s="16" t="n"/>
      <c r="I113" s="15" t="n">
        <v>2957000</v>
      </c>
      <c r="J113" s="15" t="n">
        <v>1719000</v>
      </c>
      <c r="K113" s="16" t="n"/>
      <c r="L113" s="15" t="n">
        <v>6459000</v>
      </c>
      <c r="M113" s="15" t="n">
        <v>832000</v>
      </c>
      <c r="N113" s="7" t="str">
        <f>IFERROR(VLOOKUP(TRIM(B113),'확인표_A'!$A$6:$B$14,2,FALSE),"확인 필요")</f>
        <v>USD</v>
      </c>
      <c r="O113" s="7">
        <f>SUMPRODUCT(--ISTEXT(C113:E113))</f>
        <v>0</v>
      </c>
      <c r="P113" s="7">
        <f>IF(OR(G113="",H113="",I113="",J113="",L113=""),1,0)</f>
        <v>1</v>
      </c>
      <c r="Q113" s="7">
        <f>IF(AND(J113&lt;&gt;"",J113&lt;=0),1,0)</f>
        <v>0</v>
      </c>
      <c r="R113" s="20" t="str">
        <f>IF(OR(G113="",H113=""),"",G113/H113)</f>
        <v/>
      </c>
      <c r="S113" s="20">
        <f>IF(OR(I113="",J113="",Q113=1),"",I113/J113)</f>
        <v>1.7201861547411286</v>
      </c>
      <c r="T113" s="23" t="str">
        <f>IF(OR(K113="",L113=""),"",K113/L113*365)</f>
        <v/>
      </c>
      <c r="U113" s="20">
        <f>IF(OR(M113="",L113=""),"",M113/L113)</f>
        <v>0.1288125096764205</v>
      </c>
      <c r="V113" s="8">
        <f>IF(ISTEXT(C113),"글자 섞임",ROUND(C113*VLOOKUP(N113,'환율_기준일'!$A$4:$E$7,5,FALSE)/'환율_기준일'!$E$4,2))</f>
        <v>0</v>
      </c>
      <c r="W113" s="7">
        <f>IF(ISNUMBER(V113),IF(V113&gt;F113*10,1,0),"")</f>
        <v>0</v>
      </c>
      <c r="X113" s="7" t="str">
        <f>IF(Q113=1,COUNTIF($Q$2:Q113,1),"")</f>
        <v/>
      </c>
    </row>
    <row r="114">
      <c r="A114" s="16" t="inlineStr">
        <is>
          <t>B113</t>
        </is>
      </c>
      <c r="B114" s="16" t="inlineStr">
        <is>
          <t>JPY</t>
        </is>
      </c>
      <c r="C114" s="15" t="n">
        <v>3729000</v>
      </c>
      <c r="D114" s="15" t="n">
        <v>3729000</v>
      </c>
      <c r="E114" s="15" t="n">
        <v>0</v>
      </c>
      <c r="F114" s="15" t="n">
        <v>40000</v>
      </c>
      <c r="G114" s="15" t="n">
        <v>9240000</v>
      </c>
      <c r="H114" s="15" t="n">
        <v>4912000</v>
      </c>
      <c r="I114" s="15" t="n">
        <v>9177000</v>
      </c>
      <c r="J114" s="15" t="n">
        <v>13812000</v>
      </c>
      <c r="K114" s="15" t="n">
        <v>4108000</v>
      </c>
      <c r="L114" s="15" t="n">
        <v>34625000</v>
      </c>
      <c r="M114" s="15" t="n">
        <v>4345000</v>
      </c>
      <c r="N114" s="7" t="str">
        <f>IFERROR(VLOOKUP(TRIM(B114),'확인표_A'!$A$6:$B$14,2,FALSE),"확인 필요")</f>
        <v>JPY</v>
      </c>
      <c r="O114" s="7">
        <f>SUMPRODUCT(--ISTEXT(C114:E114))</f>
        <v>0</v>
      </c>
      <c r="P114" s="7">
        <f>IF(OR(G114="",H114="",I114="",J114="",L114=""),1,0)</f>
        <v>0</v>
      </c>
      <c r="Q114" s="7">
        <f>IF(AND(J114&lt;&gt;"",J114&lt;=0),1,0)</f>
        <v>0</v>
      </c>
      <c r="R114" s="20">
        <f>IF(OR(G114="",H114=""),"",G114/H114)</f>
        <v>1.8811074918566775</v>
      </c>
      <c r="S114" s="20">
        <f>IF(OR(I114="",J114="",Q114=1),"",I114/J114)</f>
        <v>0.6644222415291051</v>
      </c>
      <c r="T114" s="23">
        <f>IF(OR(K114="",L114=""),"",K114/L114*365)</f>
        <v>43.304548736462095</v>
      </c>
      <c r="U114" s="20">
        <f>IF(OR(M114="",L114=""),"",M114/L114)</f>
        <v>0.12548736462093862</v>
      </c>
      <c r="V114" s="8">
        <f>IF(ISTEXT(C114),"글자 섞임",ROUND(C114*VLOOKUP(N114,'환율_기준일'!$A$4:$E$7,5,FALSE)/'환율_기준일'!$E$4,2))</f>
        <v>23344.23</v>
      </c>
      <c r="W114" s="7">
        <f>IF(ISNUMBER(V114),IF(V114&gt;F114*10,1,0),"")</f>
        <v>0</v>
      </c>
      <c r="X114" s="7" t="str">
        <f>IF(Q114=1,COUNTIF($Q$2:Q114,1),"")</f>
        <v/>
      </c>
    </row>
    <row r="115">
      <c r="A115" s="16" t="inlineStr">
        <is>
          <t>B114</t>
        </is>
      </c>
      <c r="B115" s="16" t="inlineStr">
        <is>
          <t>JPY</t>
        </is>
      </c>
      <c r="C115" s="16" t="inlineStr">
        <is>
          <t xml:space="preserve"> 1458000 </t>
        </is>
      </c>
      <c r="D115" s="15" t="n">
        <v>1458000</v>
      </c>
      <c r="E115" s="15" t="n">
        <v>0</v>
      </c>
      <c r="F115" s="15" t="n">
        <v>40000</v>
      </c>
      <c r="G115" s="15" t="n">
        <v>9158000</v>
      </c>
      <c r="H115" s="15" t="n">
        <v>9635000</v>
      </c>
      <c r="I115" s="15" t="n">
        <v>20797000</v>
      </c>
      <c r="J115" s="15" t="n">
        <v>23069000</v>
      </c>
      <c r="K115" s="15" t="n">
        <v>4564000</v>
      </c>
      <c r="L115" s="15" t="n">
        <v>19218000</v>
      </c>
      <c r="M115" s="15" t="n">
        <v>302000</v>
      </c>
      <c r="N115" s="7" t="str">
        <f>IFERROR(VLOOKUP(TRIM(B115),'확인표_A'!$A$6:$B$14,2,FALSE),"확인 필요")</f>
        <v>JPY</v>
      </c>
      <c r="O115" s="7">
        <f>SUMPRODUCT(--ISTEXT(C115:E115))</f>
        <v>1</v>
      </c>
      <c r="P115" s="7">
        <f>IF(OR(G115="",H115="",I115="",J115="",L115=""),1,0)</f>
        <v>0</v>
      </c>
      <c r="Q115" s="7">
        <f>IF(AND(J115&lt;&gt;"",J115&lt;=0),1,0)</f>
        <v>0</v>
      </c>
      <c r="R115" s="20">
        <f>IF(OR(G115="",H115=""),"",G115/H115)</f>
        <v>0.950492994291645</v>
      </c>
      <c r="S115" s="20">
        <f>IF(OR(I115="",J115="",Q115=1),"",I115/J115)</f>
        <v>0.9015128527461095</v>
      </c>
      <c r="T115" s="23">
        <f>IF(OR(K115="",L115=""),"",K115/L115*365)</f>
        <v>86.68227703194921</v>
      </c>
      <c r="U115" s="20">
        <f>IF(OR(M115="",L115=""),"",M115/L115)</f>
        <v>0.015714434384431264</v>
      </c>
      <c r="V115" s="8" t="str">
        <f>IF(ISTEXT(C115),"글자 섞임",ROUND(C115*VLOOKUP(N115,'환율_기준일'!$A$4:$E$7,5,FALSE)/'환율_기준일'!$E$4,2))</f>
        <v>글자 섞임</v>
      </c>
      <c r="W115" s="7" t="str">
        <f>IF(ISNUMBER(V115),IF(V115&gt;F115*10,1,0),"")</f>
        <v/>
      </c>
      <c r="X115" s="7" t="str">
        <f>IF(Q115=1,COUNTIF($Q$2:Q115,1),"")</f>
        <v/>
      </c>
    </row>
    <row r="116">
      <c r="A116" s="16" t="inlineStr">
        <is>
          <t>B115</t>
        </is>
      </c>
      <c r="B116" s="16" t="inlineStr">
        <is>
          <t>CNY</t>
        </is>
      </c>
      <c r="C116" s="15" t="n">
        <v>66800</v>
      </c>
      <c r="D116" s="15" t="n">
        <v>66800</v>
      </c>
      <c r="E116" s="15" t="n">
        <v>0</v>
      </c>
      <c r="F116" s="15" t="n">
        <v>20000</v>
      </c>
      <c r="G116" s="15" t="n">
        <v>6590000</v>
      </c>
      <c r="H116" s="15" t="n">
        <v>6369000</v>
      </c>
      <c r="I116" s="15" t="n">
        <v>12019000</v>
      </c>
      <c r="J116" s="15" t="n">
        <v>7868000</v>
      </c>
      <c r="K116" s="15" t="n">
        <v>2614000</v>
      </c>
      <c r="L116" s="15" t="n">
        <v>12269000</v>
      </c>
      <c r="M116" s="15" t="n">
        <v>576000</v>
      </c>
      <c r="N116" s="7" t="str">
        <f>IFERROR(VLOOKUP(TRIM(B116),'확인표_A'!$A$6:$B$14,2,FALSE),"확인 필요")</f>
        <v>CNY</v>
      </c>
      <c r="O116" s="7">
        <f>SUMPRODUCT(--ISTEXT(C116:E116))</f>
        <v>0</v>
      </c>
      <c r="P116" s="7">
        <f>IF(OR(G116="",H116="",I116="",J116="",L116=""),1,0)</f>
        <v>0</v>
      </c>
      <c r="Q116" s="7">
        <f>IF(AND(J116&lt;&gt;"",J116&lt;=0),1,0)</f>
        <v>0</v>
      </c>
      <c r="R116" s="20">
        <f>IF(OR(G116="",H116=""),"",G116/H116)</f>
        <v>1.0346993248547653</v>
      </c>
      <c r="S116" s="20">
        <f>IF(OR(I116="",J116="",Q116=1),"",I116/J116)</f>
        <v>1.5275800711743772</v>
      </c>
      <c r="T116" s="23">
        <f>IF(OR(K116="",L116=""),"",K116/L116*365)</f>
        <v>77.76591409242808</v>
      </c>
      <c r="U116" s="20">
        <f>IF(OR(M116="",L116=""),"",M116/L116)</f>
        <v>0.04694759149074904</v>
      </c>
      <c r="V116" s="8">
        <f>IF(ISTEXT(C116),"글자 섞임",ROUND(C116*VLOOKUP(N116,'환율_기준일'!$A$4:$E$7,5,FALSE)/'환율_기준일'!$E$4,2))</f>
        <v>9941.03</v>
      </c>
      <c r="W116" s="7">
        <f>IF(ISNUMBER(V116),IF(V116&gt;F116*10,1,0),"")</f>
        <v>0</v>
      </c>
      <c r="X116" s="7" t="str">
        <f>IF(Q116=1,COUNTIF($Q$2:Q116,1),"")</f>
        <v/>
      </c>
    </row>
    <row r="117">
      <c r="A117" s="16" t="inlineStr">
        <is>
          <t>B116</t>
        </is>
      </c>
      <c r="B117" s="16" t="inlineStr">
        <is>
          <t>USD</t>
        </is>
      </c>
      <c r="C117" s="15" t="n">
        <v>10240</v>
      </c>
      <c r="D117" s="15" t="n">
        <v>10240</v>
      </c>
      <c r="E117" s="15" t="n">
        <v>0</v>
      </c>
      <c r="F117" s="15" t="n">
        <v>30000</v>
      </c>
      <c r="G117" s="15" t="n">
        <v>3305000</v>
      </c>
      <c r="H117" s="15" t="n">
        <v>1278000</v>
      </c>
      <c r="I117" s="15" t="n">
        <v>1669000</v>
      </c>
      <c r="J117" s="15" t="n">
        <v>5522000</v>
      </c>
      <c r="K117" s="16" t="n"/>
      <c r="L117" s="15" t="n">
        <v>14393000</v>
      </c>
      <c r="M117" s="15" t="n">
        <v>1573000</v>
      </c>
      <c r="N117" s="7" t="str">
        <f>IFERROR(VLOOKUP(TRIM(B117),'확인표_A'!$A$6:$B$14,2,FALSE),"확인 필요")</f>
        <v>USD</v>
      </c>
      <c r="O117" s="7">
        <f>SUMPRODUCT(--ISTEXT(C117:E117))</f>
        <v>0</v>
      </c>
      <c r="P117" s="7">
        <f>IF(OR(G117="",H117="",I117="",J117="",L117=""),1,0)</f>
        <v>0</v>
      </c>
      <c r="Q117" s="7">
        <f>IF(AND(J117&lt;&gt;"",J117&lt;=0),1,0)</f>
        <v>0</v>
      </c>
      <c r="R117" s="20">
        <f>IF(OR(G117="",H117=""),"",G117/H117)</f>
        <v>2.5860719874804383</v>
      </c>
      <c r="S117" s="20">
        <f>IF(OR(I117="",J117="",Q117=1),"",I117/J117)</f>
        <v>0.3022455632017385</v>
      </c>
      <c r="T117" s="23" t="str">
        <f>IF(OR(K117="",L117=""),"",K117/L117*365)</f>
        <v/>
      </c>
      <c r="U117" s="20">
        <f>IF(OR(M117="",L117=""),"",M117/L117)</f>
        <v>0.10928923782394219</v>
      </c>
      <c r="V117" s="8">
        <f>IF(ISTEXT(C117),"글자 섞임",ROUND(C117*VLOOKUP(N117,'환율_기준일'!$A$4:$E$7,5,FALSE)/'환율_기준일'!$E$4,2))</f>
        <v>10240</v>
      </c>
      <c r="W117" s="7">
        <f>IF(ISNUMBER(V117),IF(V117&gt;F117*10,1,0),"")</f>
        <v>0</v>
      </c>
      <c r="X117" s="7" t="str">
        <f>IF(Q117=1,COUNTIF($Q$2:Q117,1),"")</f>
        <v/>
      </c>
    </row>
    <row r="118">
      <c r="A118" s="16" t="inlineStr">
        <is>
          <t>B117</t>
        </is>
      </c>
      <c r="B118" s="16" t="inlineStr">
        <is>
          <t>USD</t>
        </is>
      </c>
      <c r="C118" s="15" t="n">
        <v>0</v>
      </c>
      <c r="D118" s="15" t="n">
        <v>0</v>
      </c>
      <c r="E118" s="15" t="n">
        <v>0</v>
      </c>
      <c r="F118" s="15" t="n">
        <v>10000</v>
      </c>
      <c r="G118" s="15" t="n">
        <v>6975000</v>
      </c>
      <c r="H118" s="15" t="n">
        <v>4841000</v>
      </c>
      <c r="I118" s="15" t="n">
        <v>6330000</v>
      </c>
      <c r="J118" s="15" t="n">
        <v>5577000</v>
      </c>
      <c r="K118" s="15" t="n">
        <v>2487000</v>
      </c>
      <c r="L118" s="15" t="n">
        <v>10461000</v>
      </c>
      <c r="M118" s="15" t="n">
        <v>219000</v>
      </c>
      <c r="N118" s="7" t="str">
        <f>IFERROR(VLOOKUP(TRIM(B118),'확인표_A'!$A$6:$B$14,2,FALSE),"확인 필요")</f>
        <v>USD</v>
      </c>
      <c r="O118" s="7">
        <f>SUMPRODUCT(--ISTEXT(C118:E118))</f>
        <v>0</v>
      </c>
      <c r="P118" s="7">
        <f>IF(OR(G118="",H118="",I118="",J118="",L118=""),1,0)</f>
        <v>0</v>
      </c>
      <c r="Q118" s="7">
        <f>IF(AND(J118&lt;&gt;"",J118&lt;=0),1,0)</f>
        <v>0</v>
      </c>
      <c r="R118" s="20">
        <f>IF(OR(G118="",H118=""),"",G118/H118)</f>
        <v>1.4408180128072712</v>
      </c>
      <c r="S118" s="20">
        <f>IF(OR(I118="",J118="",Q118=1),"",I118/J118)</f>
        <v>1.1350188273265196</v>
      </c>
      <c r="T118" s="23">
        <f>IF(OR(K118="",L118=""),"",K118/L118*365)</f>
        <v>86.77516489819328</v>
      </c>
      <c r="U118" s="20">
        <f>IF(OR(M118="",L118=""),"",M118/L118)</f>
        <v>0.020934901061084026</v>
      </c>
      <c r="V118" s="8">
        <f>IF(ISTEXT(C118),"글자 섞임",ROUND(C118*VLOOKUP(N118,'환율_기준일'!$A$4:$E$7,5,FALSE)/'환율_기준일'!$E$4,2))</f>
        <v>0</v>
      </c>
      <c r="W118" s="7">
        <f>IF(ISNUMBER(V118),IF(V118&gt;F118*10,1,0),"")</f>
        <v>0</v>
      </c>
      <c r="X118" s="7" t="str">
        <f>IF(Q118=1,COUNTIF($Q$2:Q118,1),"")</f>
        <v/>
      </c>
    </row>
    <row r="119">
      <c r="A119" s="16" t="inlineStr">
        <is>
          <t>B118</t>
        </is>
      </c>
      <c r="B119" s="16" t="inlineStr">
        <is>
          <t>usd</t>
        </is>
      </c>
      <c r="C119" s="15" t="n">
        <v>25340</v>
      </c>
      <c r="D119" s="15" t="n">
        <v>20060</v>
      </c>
      <c r="E119" s="15" t="n">
        <v>5280</v>
      </c>
      <c r="F119" s="15" t="n">
        <v>20000</v>
      </c>
      <c r="G119" s="15" t="n">
        <v>12170000</v>
      </c>
      <c r="H119" s="15" t="n">
        <v>6087000</v>
      </c>
      <c r="I119" s="15" t="n">
        <v>9594000</v>
      </c>
      <c r="J119" s="16" t="n"/>
      <c r="K119" s="15" t="n">
        <v>6105000</v>
      </c>
      <c r="L119" s="15" t="n">
        <v>34335000</v>
      </c>
      <c r="M119" s="15" t="n">
        <v>2306000</v>
      </c>
      <c r="N119" s="7" t="str">
        <f>IFERROR(VLOOKUP(TRIM(B119),'확인표_A'!$A$6:$B$14,2,FALSE),"확인 필요")</f>
        <v>USD</v>
      </c>
      <c r="O119" s="7">
        <f>SUMPRODUCT(--ISTEXT(C119:E119))</f>
        <v>0</v>
      </c>
      <c r="P119" s="7">
        <f>IF(OR(G119="",H119="",I119="",J119="",L119=""),1,0)</f>
        <v>1</v>
      </c>
      <c r="Q119" s="7">
        <f>IF(AND(J119&lt;&gt;"",J119&lt;=0),1,0)</f>
        <v>0</v>
      </c>
      <c r="R119" s="20">
        <f>IF(OR(G119="",H119=""),"",G119/H119)</f>
        <v>1.999342861836701</v>
      </c>
      <c r="S119" s="20" t="str">
        <f>IF(OR(I119="",J119="",Q119=1),"",I119/J119)</f>
        <v/>
      </c>
      <c r="T119" s="23">
        <f>IF(OR(K119="",L119=""),"",K119/L119*365)</f>
        <v>64.89951944080384</v>
      </c>
      <c r="U119" s="20">
        <f>IF(OR(M119="",L119=""),"",M119/L119)</f>
        <v>0.06716178826270569</v>
      </c>
      <c r="V119" s="8">
        <f>IF(ISTEXT(C119),"글자 섞임",ROUND(C119*VLOOKUP(N119,'환율_기준일'!$A$4:$E$7,5,FALSE)/'환율_기준일'!$E$4,2))</f>
        <v>25340</v>
      </c>
      <c r="W119" s="7">
        <f>IF(ISNUMBER(V119),IF(V119&gt;F119*10,1,0),"")</f>
        <v>0</v>
      </c>
      <c r="X119" s="7" t="str">
        <f>IF(Q119=1,COUNTIF($Q$2:Q119,1),"")</f>
        <v/>
      </c>
    </row>
    <row r="120">
      <c r="A120" s="16" t="inlineStr">
        <is>
          <t>B119</t>
        </is>
      </c>
      <c r="B120" s="16" t="inlineStr">
        <is>
          <t>US$</t>
        </is>
      </c>
      <c r="C120" s="15" t="n">
        <v>44730</v>
      </c>
      <c r="D120" s="15" t="n">
        <v>44730</v>
      </c>
      <c r="E120" s="15" t="n">
        <v>0</v>
      </c>
      <c r="F120" s="15" t="n">
        <v>30000</v>
      </c>
      <c r="G120" s="15" t="n">
        <v>9730000</v>
      </c>
      <c r="H120" s="15" t="n">
        <v>7764000</v>
      </c>
      <c r="I120" s="15" t="n">
        <v>13266000</v>
      </c>
      <c r="J120" s="15" t="n">
        <v>5888000</v>
      </c>
      <c r="K120" s="15" t="n">
        <v>4969000</v>
      </c>
      <c r="L120" s="15" t="n">
        <v>37547000</v>
      </c>
      <c r="M120" s="15" t="n">
        <v>1704000</v>
      </c>
      <c r="N120" s="7" t="str">
        <f>IFERROR(VLOOKUP(TRIM(B120),'확인표_A'!$A$6:$B$14,2,FALSE),"확인 필요")</f>
        <v>USD</v>
      </c>
      <c r="O120" s="7">
        <f>SUMPRODUCT(--ISTEXT(C120:E120))</f>
        <v>0</v>
      </c>
      <c r="P120" s="7">
        <f>IF(OR(G120="",H120="",I120="",J120="",L120=""),1,0)</f>
        <v>0</v>
      </c>
      <c r="Q120" s="7">
        <f>IF(AND(J120&lt;&gt;"",J120&lt;=0),1,0)</f>
        <v>0</v>
      </c>
      <c r="R120" s="20">
        <f>IF(OR(G120="",H120=""),"",G120/H120)</f>
        <v>1.253219989696033</v>
      </c>
      <c r="S120" s="20">
        <f>IF(OR(I120="",J120="",Q120=1),"",I120/J120)</f>
        <v>2.253057065217391</v>
      </c>
      <c r="T120" s="23">
        <f>IF(OR(K120="",L120=""),"",K120/L120*365)</f>
        <v>48.30439182890777</v>
      </c>
      <c r="U120" s="20">
        <f>IF(OR(M120="",L120=""),"",M120/L120)</f>
        <v>0.04538311982315498</v>
      </c>
      <c r="V120" s="8">
        <f>IF(ISTEXT(C120),"글자 섞임",ROUND(C120*VLOOKUP(N120,'환율_기준일'!$A$4:$E$7,5,FALSE)/'환율_기준일'!$E$4,2))</f>
        <v>44730</v>
      </c>
      <c r="W120" s="7">
        <f>IF(ISNUMBER(V120),IF(V120&gt;F120*10,1,0),"")</f>
        <v>0</v>
      </c>
      <c r="X120" s="7" t="str">
        <f>IF(Q120=1,COUNTIF($Q$2:Q120,1),"")</f>
        <v/>
      </c>
    </row>
    <row r="121">
      <c r="A121" s="16" t="inlineStr">
        <is>
          <t>B120</t>
        </is>
      </c>
      <c r="B121" s="16" t="inlineStr">
        <is>
          <t>JPY</t>
        </is>
      </c>
      <c r="C121" s="15" t="n">
        <v>2818000</v>
      </c>
      <c r="D121" s="15" t="n">
        <v>2818000</v>
      </c>
      <c r="E121" s="15" t="n">
        <v>0</v>
      </c>
      <c r="F121" s="15" t="n">
        <v>20000</v>
      </c>
      <c r="G121" s="15" t="n">
        <v>2396000</v>
      </c>
      <c r="H121" s="15" t="n">
        <v>1335000</v>
      </c>
      <c r="I121" s="15" t="n">
        <v>1994000</v>
      </c>
      <c r="J121" s="15" t="n">
        <v>1449000</v>
      </c>
      <c r="K121" s="15" t="n">
        <v>1251000</v>
      </c>
      <c r="L121" s="15" t="n">
        <v>7917000</v>
      </c>
      <c r="M121" s="15" t="n">
        <v>454000</v>
      </c>
      <c r="N121" s="7" t="str">
        <f>IFERROR(VLOOKUP(TRIM(B121),'확인표_A'!$A$6:$B$14,2,FALSE),"확인 필요")</f>
        <v>JPY</v>
      </c>
      <c r="O121" s="7">
        <f>SUMPRODUCT(--ISTEXT(C121:E121))</f>
        <v>0</v>
      </c>
      <c r="P121" s="7">
        <f>IF(OR(G121="",H121="",I121="",J121="",L121=""),1,0)</f>
        <v>0</v>
      </c>
      <c r="Q121" s="7">
        <f>IF(AND(J121&lt;&gt;"",J121&lt;=0),1,0)</f>
        <v>0</v>
      </c>
      <c r="R121" s="20">
        <f>IF(OR(G121="",H121=""),"",G121/H121)</f>
        <v>1.794756554307116</v>
      </c>
      <c r="S121" s="20">
        <f>IF(OR(I121="",J121="",Q121=1),"",I121/J121)</f>
        <v>1.3761214630779848</v>
      </c>
      <c r="T121" s="23">
        <f>IF(OR(K121="",L121=""),"",K121/L121*365)</f>
        <v>57.67525577870405</v>
      </c>
      <c r="U121" s="20">
        <f>IF(OR(M121="",L121=""),"",M121/L121)</f>
        <v>0.057344953896678034</v>
      </c>
      <c r="V121" s="8">
        <f>IF(ISTEXT(C121),"글자 섞임",ROUND(C121*VLOOKUP(N121,'환율_기준일'!$A$4:$E$7,5,FALSE)/'환율_기준일'!$E$4,2))</f>
        <v>17641.21</v>
      </c>
      <c r="W121" s="7">
        <f>IF(ISNUMBER(V121),IF(V121&gt;F121*10,1,0),"")</f>
        <v>0</v>
      </c>
      <c r="X121" s="7" t="str">
        <f>IF(Q121=1,COUNTIF($Q$2:Q121,1),"")</f>
        <v/>
      </c>
    </row>
    <row r="122">
      <c r="A122" s="16" t="inlineStr">
        <is>
          <t>B121</t>
        </is>
      </c>
      <c r="B122" s="16" t="inlineStr">
        <is>
          <t>usd</t>
        </is>
      </c>
      <c r="C122" s="15" t="n">
        <v>71850</v>
      </c>
      <c r="D122" s="15" t="n">
        <v>71850</v>
      </c>
      <c r="E122" s="15" t="n">
        <v>0</v>
      </c>
      <c r="F122" s="15" t="n">
        <v>70000</v>
      </c>
      <c r="G122" s="15" t="n">
        <v>25691000</v>
      </c>
      <c r="H122" s="15" t="n">
        <v>22739000</v>
      </c>
      <c r="I122" s="15" t="n">
        <v>33481000</v>
      </c>
      <c r="J122" s="15" t="n">
        <v>28511000</v>
      </c>
      <c r="K122" s="16" t="n"/>
      <c r="L122" s="15" t="n">
        <v>61717000</v>
      </c>
      <c r="M122" s="15" t="n">
        <v>6799000</v>
      </c>
      <c r="N122" s="7" t="str">
        <f>IFERROR(VLOOKUP(TRIM(B122),'확인표_A'!$A$6:$B$14,2,FALSE),"확인 필요")</f>
        <v>USD</v>
      </c>
      <c r="O122" s="7">
        <f>SUMPRODUCT(--ISTEXT(C122:E122))</f>
        <v>0</v>
      </c>
      <c r="P122" s="7">
        <f>IF(OR(G122="",H122="",I122="",J122="",L122=""),1,0)</f>
        <v>0</v>
      </c>
      <c r="Q122" s="7">
        <f>IF(AND(J122&lt;&gt;"",J122&lt;=0),1,0)</f>
        <v>0</v>
      </c>
      <c r="R122" s="20">
        <f>IF(OR(G122="",H122=""),"",G122/H122)</f>
        <v>1.1298210123576236</v>
      </c>
      <c r="S122" s="20">
        <f>IF(OR(I122="",J122="",Q122=1),"",I122/J122)</f>
        <v>1.1743186840166953</v>
      </c>
      <c r="T122" s="23" t="str">
        <f>IF(OR(K122="",L122=""),"",K122/L122*365)</f>
        <v/>
      </c>
      <c r="U122" s="20">
        <f>IF(OR(M122="",L122=""),"",M122/L122)</f>
        <v>0.1101641362995609</v>
      </c>
      <c r="V122" s="8">
        <f>IF(ISTEXT(C122),"글자 섞임",ROUND(C122*VLOOKUP(N122,'환율_기준일'!$A$4:$E$7,5,FALSE)/'환율_기준일'!$E$4,2))</f>
        <v>71850</v>
      </c>
      <c r="W122" s="7">
        <f>IF(ISNUMBER(V122),IF(V122&gt;F122*10,1,0),"")</f>
        <v>0</v>
      </c>
      <c r="X122" s="7" t="str">
        <f>IF(Q122=1,COUNTIF($Q$2:Q122,1),"")</f>
        <v/>
      </c>
    </row>
    <row r="123">
      <c r="A123" s="16" t="inlineStr">
        <is>
          <t>B122</t>
        </is>
      </c>
      <c r="B123" s="16" t="inlineStr">
        <is>
          <t>JPY</t>
        </is>
      </c>
      <c r="C123" s="15" t="n">
        <v>0</v>
      </c>
      <c r="D123" s="15" t="n">
        <v>0</v>
      </c>
      <c r="E123" s="15" t="n">
        <v>0</v>
      </c>
      <c r="F123" s="15" t="n">
        <v>10000</v>
      </c>
      <c r="G123" s="15" t="n">
        <v>44212000</v>
      </c>
      <c r="H123" s="16" t="n"/>
      <c r="I123" s="15" t="n">
        <v>70479000</v>
      </c>
      <c r="J123" s="16" t="n"/>
      <c r="K123" s="15" t="n">
        <v>24343000</v>
      </c>
      <c r="L123" s="15" t="n">
        <v>105764000</v>
      </c>
      <c r="M123" s="15" t="n">
        <v>8179000</v>
      </c>
      <c r="N123" s="7" t="str">
        <f>IFERROR(VLOOKUP(TRIM(B123),'확인표_A'!$A$6:$B$14,2,FALSE),"확인 필요")</f>
        <v>JPY</v>
      </c>
      <c r="O123" s="7">
        <f>SUMPRODUCT(--ISTEXT(C123:E123))</f>
        <v>0</v>
      </c>
      <c r="P123" s="7">
        <f>IF(OR(G123="",H123="",I123="",J123="",L123=""),1,0)</f>
        <v>1</v>
      </c>
      <c r="Q123" s="7">
        <f>IF(AND(J123&lt;&gt;"",J123&lt;=0),1,0)</f>
        <v>0</v>
      </c>
      <c r="R123" s="20" t="str">
        <f>IF(OR(G123="",H123=""),"",G123/H123)</f>
        <v/>
      </c>
      <c r="S123" s="20" t="str">
        <f>IF(OR(I123="",J123="",Q123=1),"",I123/J123)</f>
        <v/>
      </c>
      <c r="T123" s="23">
        <f>IF(OR(K123="",L123=""),"",K123/L123*365)</f>
        <v>84.00963465829582</v>
      </c>
      <c r="U123" s="20">
        <f>IF(OR(M123="",L123=""),"",M123/L123)</f>
        <v>0.07733255171892137</v>
      </c>
      <c r="V123" s="8">
        <f>IF(ISTEXT(C123),"글자 섞임",ROUND(C123*VLOOKUP(N123,'환율_기준일'!$A$4:$E$7,5,FALSE)/'환율_기준일'!$E$4,2))</f>
        <v>0</v>
      </c>
      <c r="W123" s="7">
        <f>IF(ISNUMBER(V123),IF(V123&gt;F123*10,1,0),"")</f>
        <v>0</v>
      </c>
      <c r="X123" s="7" t="str">
        <f>IF(Q123=1,COUNTIF($Q$2:Q123,1),"")</f>
        <v/>
      </c>
    </row>
    <row r="124">
      <c r="A124" s="16" t="inlineStr">
        <is>
          <t>B123</t>
        </is>
      </c>
      <c r="B124" s="16" t="inlineStr">
        <is>
          <t>euro</t>
        </is>
      </c>
      <c r="C124" s="15" t="n">
        <v>17470</v>
      </c>
      <c r="D124" s="15" t="n">
        <v>17470</v>
      </c>
      <c r="E124" s="15" t="n">
        <v>0</v>
      </c>
      <c r="F124" s="15" t="n">
        <v>20000</v>
      </c>
      <c r="G124" s="15" t="n">
        <v>24592000</v>
      </c>
      <c r="H124" s="15" t="n">
        <v>15989000</v>
      </c>
      <c r="I124" s="15" t="n">
        <v>27707000</v>
      </c>
      <c r="J124" s="16" t="n"/>
      <c r="K124" s="15" t="n">
        <v>13454000</v>
      </c>
      <c r="L124" s="15" t="n">
        <v>90764000</v>
      </c>
      <c r="M124" s="15" t="n">
        <v>9706000</v>
      </c>
      <c r="N124" s="7" t="str">
        <f>IFERROR(VLOOKUP(TRIM(B124),'확인표_A'!$A$6:$B$14,2,FALSE),"확인 필요")</f>
        <v>EUR</v>
      </c>
      <c r="O124" s="7">
        <f>SUMPRODUCT(--ISTEXT(C124:E124))</f>
        <v>0</v>
      </c>
      <c r="P124" s="7">
        <f>IF(OR(G124="",H124="",I124="",J124="",L124=""),1,0)</f>
        <v>1</v>
      </c>
      <c r="Q124" s="7">
        <f>IF(AND(J124&lt;&gt;"",J124&lt;=0),1,0)</f>
        <v>0</v>
      </c>
      <c r="R124" s="20">
        <f>IF(OR(G124="",H124=""),"",G124/H124)</f>
        <v>1.5380574144724497</v>
      </c>
      <c r="S124" s="20" t="str">
        <f>IF(OR(I124="",J124="",Q124=1),"",I124/J124)</f>
        <v/>
      </c>
      <c r="T124" s="23">
        <f>IF(OR(K124="",L124=""),"",K124/L124*365)</f>
        <v>54.104160239742626</v>
      </c>
      <c r="U124" s="20">
        <f>IF(OR(M124="",L124=""),"",M124/L124)</f>
        <v>0.10693667092679918</v>
      </c>
      <c r="V124" s="8">
        <f>IF(ISTEXT(C124),"글자 섞임",ROUND(C124*VLOOKUP(N124,'환율_기준일'!$A$4:$E$7,5,FALSE)/'환율_기준일'!$E$4,2))</f>
        <v>20294.95</v>
      </c>
      <c r="W124" s="7">
        <f>IF(ISNUMBER(V124),IF(V124&gt;F124*10,1,0),"")</f>
        <v>0</v>
      </c>
      <c r="X124" s="7" t="str">
        <f>IF(Q124=1,COUNTIF($Q$2:Q124,1),"")</f>
        <v/>
      </c>
    </row>
    <row r="125">
      <c r="A125" s="16" t="inlineStr">
        <is>
          <t>B124</t>
        </is>
      </c>
      <c r="B125" s="16" t="inlineStr">
        <is>
          <t>RMB</t>
        </is>
      </c>
      <c r="C125" s="15" t="n">
        <v>303500</v>
      </c>
      <c r="D125" s="15" t="n">
        <v>303500</v>
      </c>
      <c r="E125" s="15" t="n">
        <v>0</v>
      </c>
      <c r="F125" s="15" t="n">
        <v>30000</v>
      </c>
      <c r="G125" s="15" t="n">
        <v>15129000</v>
      </c>
      <c r="H125" s="15" t="n">
        <v>8671000</v>
      </c>
      <c r="I125" s="15" t="n">
        <v>17912000</v>
      </c>
      <c r="J125" s="15" t="n">
        <v>15582000</v>
      </c>
      <c r="K125" s="15" t="n">
        <v>7825000</v>
      </c>
      <c r="L125" s="15" t="n">
        <v>45951000</v>
      </c>
      <c r="M125" s="15" t="n">
        <v>2529000</v>
      </c>
      <c r="N125" s="7" t="str">
        <f>IFERROR(VLOOKUP(TRIM(B125),'확인표_A'!$A$6:$B$14,2,FALSE),"확인 필요")</f>
        <v>CNY</v>
      </c>
      <c r="O125" s="7">
        <f>SUMPRODUCT(--ISTEXT(C125:E125))</f>
        <v>0</v>
      </c>
      <c r="P125" s="7">
        <f>IF(OR(G125="",H125="",I125="",J125="",L125=""),1,0)</f>
        <v>0</v>
      </c>
      <c r="Q125" s="7">
        <f>IF(AND(J125&lt;&gt;"",J125&lt;=0),1,0)</f>
        <v>0</v>
      </c>
      <c r="R125" s="20">
        <f>IF(OR(G125="",H125=""),"",G125/H125)</f>
        <v>1.7447814554261332</v>
      </c>
      <c r="S125" s="20">
        <f>IF(OR(I125="",J125="",Q125=1),"",I125/J125)</f>
        <v>1.1495315107174946</v>
      </c>
      <c r="T125" s="23">
        <f>IF(OR(K125="",L125=""),"",K125/L125*365)</f>
        <v>62.15588344105678</v>
      </c>
      <c r="U125" s="20">
        <f>IF(OR(M125="",L125=""),"",M125/L125)</f>
        <v>0.05503688711888751</v>
      </c>
      <c r="V125" s="8">
        <f>IF(ISTEXT(C125),"글자 섞임",ROUND(C125*VLOOKUP(N125,'환율_기준일'!$A$4:$E$7,5,FALSE)/'환율_기준일'!$E$4,2))</f>
        <v>45166.21</v>
      </c>
      <c r="W125" s="7">
        <f>IF(ISNUMBER(V125),IF(V125&gt;F125*10,1,0),"")</f>
        <v>0</v>
      </c>
      <c r="X125" s="7" t="str">
        <f>IF(Q125=1,COUNTIF($Q$2:Q125,1),"")</f>
        <v/>
      </c>
    </row>
    <row r="126">
      <c r="A126" s="16" t="inlineStr">
        <is>
          <t>B125</t>
        </is>
      </c>
      <c r="B126" s="16" t="inlineStr">
        <is>
          <t>USD</t>
        </is>
      </c>
      <c r="C126" s="15" t="n">
        <v>0</v>
      </c>
      <c r="D126" s="15" t="n">
        <v>0</v>
      </c>
      <c r="E126" s="15" t="n">
        <v>0</v>
      </c>
      <c r="F126" s="15" t="n">
        <v>10000</v>
      </c>
      <c r="G126" s="15" t="n">
        <v>35176000</v>
      </c>
      <c r="H126" s="16" t="n"/>
      <c r="I126" s="15" t="n">
        <v>33649000</v>
      </c>
      <c r="J126" s="16" t="n"/>
      <c r="K126" s="16" t="n"/>
      <c r="L126" s="15" t="n">
        <v>57889000</v>
      </c>
      <c r="M126" s="15" t="n">
        <v>1112000</v>
      </c>
      <c r="N126" s="7" t="str">
        <f>IFERROR(VLOOKUP(TRIM(B126),'확인표_A'!$A$6:$B$14,2,FALSE),"확인 필요")</f>
        <v>USD</v>
      </c>
      <c r="O126" s="7">
        <f>SUMPRODUCT(--ISTEXT(C126:E126))</f>
        <v>0</v>
      </c>
      <c r="P126" s="7">
        <f>IF(OR(G126="",H126="",I126="",J126="",L126=""),1,0)</f>
        <v>1</v>
      </c>
      <c r="Q126" s="7">
        <f>IF(AND(J126&lt;&gt;"",J126&lt;=0),1,0)</f>
        <v>0</v>
      </c>
      <c r="R126" s="20" t="str">
        <f>IF(OR(G126="",H126=""),"",G126/H126)</f>
        <v/>
      </c>
      <c r="S126" s="20" t="str">
        <f>IF(OR(I126="",J126="",Q126=1),"",I126/J126)</f>
        <v/>
      </c>
      <c r="T126" s="23" t="str">
        <f>IF(OR(K126="",L126=""),"",K126/L126*365)</f>
        <v/>
      </c>
      <c r="U126" s="20">
        <f>IF(OR(M126="",L126=""),"",M126/L126)</f>
        <v>0.01920917618200349</v>
      </c>
      <c r="V126" s="8">
        <f>IF(ISTEXT(C126),"글자 섞임",ROUND(C126*VLOOKUP(N126,'환율_기준일'!$A$4:$E$7,5,FALSE)/'환율_기준일'!$E$4,2))</f>
        <v>0</v>
      </c>
      <c r="W126" s="7">
        <f>IF(ISNUMBER(V126),IF(V126&gt;F126*10,1,0),"")</f>
        <v>0</v>
      </c>
      <c r="X126" s="7" t="str">
        <f>IF(Q126=1,COUNTIF($Q$2:Q126,1),"")</f>
        <v/>
      </c>
    </row>
    <row r="127">
      <c r="A127" s="16" t="inlineStr">
        <is>
          <t>B126</t>
        </is>
      </c>
      <c r="B127" s="16" t="inlineStr">
        <is>
          <t>USD</t>
        </is>
      </c>
      <c r="C127" s="15" t="n">
        <v>3630</v>
      </c>
      <c r="D127" s="15" t="n">
        <v>3630</v>
      </c>
      <c r="E127" s="15" t="n">
        <v>0</v>
      </c>
      <c r="F127" s="15" t="n">
        <v>30000</v>
      </c>
      <c r="G127" s="15" t="n">
        <v>43093000</v>
      </c>
      <c r="H127" s="16" t="n"/>
      <c r="I127" s="15" t="n">
        <v>33693000</v>
      </c>
      <c r="J127" s="15" t="n">
        <v>32289000</v>
      </c>
      <c r="K127" s="15" t="n">
        <v>14841000</v>
      </c>
      <c r="L127" s="15" t="n">
        <v>70376000</v>
      </c>
      <c r="M127" s="15" t="n">
        <v>6000000</v>
      </c>
      <c r="N127" s="7" t="str">
        <f>IFERROR(VLOOKUP(TRIM(B127),'확인표_A'!$A$6:$B$14,2,FALSE),"확인 필요")</f>
        <v>USD</v>
      </c>
      <c r="O127" s="7">
        <f>SUMPRODUCT(--ISTEXT(C127:E127))</f>
        <v>0</v>
      </c>
      <c r="P127" s="7">
        <f>IF(OR(G127="",H127="",I127="",J127="",L127=""),1,0)</f>
        <v>1</v>
      </c>
      <c r="Q127" s="7">
        <f>IF(AND(J127&lt;&gt;"",J127&lt;=0),1,0)</f>
        <v>0</v>
      </c>
      <c r="R127" s="20" t="str">
        <f>IF(OR(G127="",H127=""),"",G127/H127)</f>
        <v/>
      </c>
      <c r="S127" s="20">
        <f>IF(OR(I127="",J127="",Q127=1),"",I127/J127)</f>
        <v>1.0434823004738456</v>
      </c>
      <c r="T127" s="23">
        <f>IF(OR(K127="",L127=""),"",K127/L127*365)</f>
        <v>76.9717659429351</v>
      </c>
      <c r="U127" s="20">
        <f>IF(OR(M127="",L127=""),"",M127/L127)</f>
        <v>0.08525633738774582</v>
      </c>
      <c r="V127" s="8">
        <f>IF(ISTEXT(C127),"글자 섞임",ROUND(C127*VLOOKUP(N127,'환율_기준일'!$A$4:$E$7,5,FALSE)/'환율_기준일'!$E$4,2))</f>
        <v>3630</v>
      </c>
      <c r="W127" s="7">
        <f>IF(ISNUMBER(V127),IF(V127&gt;F127*10,1,0),"")</f>
        <v>0</v>
      </c>
      <c r="X127" s="7" t="str">
        <f>IF(Q127=1,COUNTIF($Q$2:Q127,1),"")</f>
        <v/>
      </c>
    </row>
    <row r="128">
      <c r="A128" s="16" t="inlineStr">
        <is>
          <t>B127</t>
        </is>
      </c>
      <c r="B128" s="16" t="inlineStr">
        <is>
          <t>USD</t>
        </is>
      </c>
      <c r="C128" s="15" t="n">
        <v>1220</v>
      </c>
      <c r="D128" s="15" t="n">
        <v>1220</v>
      </c>
      <c r="E128" s="15" t="n">
        <v>0</v>
      </c>
      <c r="F128" s="15" t="n">
        <v>30000</v>
      </c>
      <c r="G128" s="15" t="n">
        <v>456093000</v>
      </c>
      <c r="H128" s="15" t="n">
        <v>624954000</v>
      </c>
      <c r="I128" s="15" t="n">
        <v>998878000</v>
      </c>
      <c r="J128" s="15" t="n">
        <v>203976000</v>
      </c>
      <c r="K128" s="16" t="n"/>
      <c r="L128" s="15" t="n">
        <v>501391000</v>
      </c>
      <c r="M128" s="16" t="n"/>
      <c r="N128" s="7" t="str">
        <f>IFERROR(VLOOKUP(TRIM(B128),'확인표_A'!$A$6:$B$14,2,FALSE),"확인 필요")</f>
        <v>USD</v>
      </c>
      <c r="O128" s="7">
        <f>SUMPRODUCT(--ISTEXT(C128:E128))</f>
        <v>0</v>
      </c>
      <c r="P128" s="7">
        <f>IF(OR(G128="",H128="",I128="",J128="",L128=""),1,0)</f>
        <v>0</v>
      </c>
      <c r="Q128" s="7">
        <f>IF(AND(J128&lt;&gt;"",J128&lt;=0),1,0)</f>
        <v>0</v>
      </c>
      <c r="R128" s="20">
        <f>IF(OR(G128="",H128=""),"",G128/H128)</f>
        <v>0.729802513464991</v>
      </c>
      <c r="S128" s="20">
        <f>IF(OR(I128="",J128="",Q128=1),"",I128/J128)</f>
        <v>4.897036906302702</v>
      </c>
      <c r="T128" s="23" t="str">
        <f>IF(OR(K128="",L128=""),"",K128/L128*365)</f>
        <v/>
      </c>
      <c r="U128" s="20" t="str">
        <f>IF(OR(M128="",L128=""),"",M128/L128)</f>
        <v/>
      </c>
      <c r="V128" s="8">
        <f>IF(ISTEXT(C128),"글자 섞임",ROUND(C128*VLOOKUP(N128,'환율_기준일'!$A$4:$E$7,5,FALSE)/'환율_기준일'!$E$4,2))</f>
        <v>1220</v>
      </c>
      <c r="W128" s="7">
        <f>IF(ISNUMBER(V128),IF(V128&gt;F128*10,1,0),"")</f>
        <v>0</v>
      </c>
      <c r="X128" s="7" t="str">
        <f>IF(Q128=1,COUNTIF($Q$2:Q128,1),"")</f>
        <v/>
      </c>
    </row>
    <row r="129">
      <c r="A129" s="16" t="inlineStr">
        <is>
          <t>B128</t>
        </is>
      </c>
      <c r="B129" s="16" t="inlineStr">
        <is>
          <t>USD</t>
        </is>
      </c>
      <c r="C129" s="15" t="n">
        <v>89220</v>
      </c>
      <c r="D129" s="15" t="n">
        <v>89220</v>
      </c>
      <c r="E129" s="15" t="n">
        <v>0</v>
      </c>
      <c r="F129" s="15" t="n">
        <v>90000</v>
      </c>
      <c r="G129" s="15" t="n">
        <v>115833000</v>
      </c>
      <c r="H129" s="15" t="n">
        <v>69918000</v>
      </c>
      <c r="I129" s="15" t="n">
        <v>115560000</v>
      </c>
      <c r="J129" s="15" t="n">
        <v>178107000</v>
      </c>
      <c r="K129" s="16" t="n"/>
      <c r="L129" s="15" t="n">
        <v>370973000</v>
      </c>
      <c r="M129" s="15" t="n">
        <v>18593000</v>
      </c>
      <c r="N129" s="7" t="str">
        <f>IFERROR(VLOOKUP(TRIM(B129),'확인표_A'!$A$6:$B$14,2,FALSE),"확인 필요")</f>
        <v>USD</v>
      </c>
      <c r="O129" s="7">
        <f>SUMPRODUCT(--ISTEXT(C129:E129))</f>
        <v>0</v>
      </c>
      <c r="P129" s="7">
        <f>IF(OR(G129="",H129="",I129="",J129="",L129=""),1,0)</f>
        <v>0</v>
      </c>
      <c r="Q129" s="7">
        <f>IF(AND(J129&lt;&gt;"",J129&lt;=0),1,0)</f>
        <v>0</v>
      </c>
      <c r="R129" s="20">
        <f>IF(OR(G129="",H129=""),"",G129/H129)</f>
        <v>1.656697846048228</v>
      </c>
      <c r="S129" s="20">
        <f>IF(OR(I129="",J129="",Q129=1),"",I129/J129)</f>
        <v>0.6488234600549108</v>
      </c>
      <c r="T129" s="23" t="str">
        <f>IF(OR(K129="",L129=""),"",K129/L129*365)</f>
        <v/>
      </c>
      <c r="U129" s="20">
        <f>IF(OR(M129="",L129=""),"",M129/L129)</f>
        <v>0.050119550479414944</v>
      </c>
      <c r="V129" s="8">
        <f>IF(ISTEXT(C129),"글자 섞임",ROUND(C129*VLOOKUP(N129,'환율_기준일'!$A$4:$E$7,5,FALSE)/'환율_기준일'!$E$4,2))</f>
        <v>89220</v>
      </c>
      <c r="W129" s="7">
        <f>IF(ISNUMBER(V129),IF(V129&gt;F129*10,1,0),"")</f>
        <v>0</v>
      </c>
      <c r="X129" s="7" t="str">
        <f>IF(Q129=1,COUNTIF($Q$2:Q129,1),"")</f>
        <v/>
      </c>
    </row>
    <row r="130">
      <c r="A130" s="16" t="inlineStr">
        <is>
          <t>B129</t>
        </is>
      </c>
      <c r="B130" s="16" t="inlineStr">
        <is>
          <t>USD</t>
        </is>
      </c>
      <c r="C130" s="15" t="n">
        <v>4850</v>
      </c>
      <c r="D130" s="15" t="n">
        <v>4850</v>
      </c>
      <c r="E130" s="15" t="n">
        <v>0</v>
      </c>
      <c r="F130" s="15" t="n">
        <v>20000</v>
      </c>
      <c r="G130" s="15" t="n">
        <v>10809000</v>
      </c>
      <c r="H130" s="16" t="n"/>
      <c r="I130" s="15" t="n">
        <v>75858000</v>
      </c>
      <c r="J130" s="15" t="n">
        <v>20488000</v>
      </c>
      <c r="K130" s="15" t="n">
        <v>4670000</v>
      </c>
      <c r="L130" s="15" t="n">
        <v>15528000</v>
      </c>
      <c r="M130" s="15" t="n">
        <v>-603000</v>
      </c>
      <c r="N130" s="7" t="str">
        <f>IFERROR(VLOOKUP(TRIM(B130),'확인표_A'!$A$6:$B$14,2,FALSE),"확인 필요")</f>
        <v>USD</v>
      </c>
      <c r="O130" s="7">
        <f>SUMPRODUCT(--ISTEXT(C130:E130))</f>
        <v>0</v>
      </c>
      <c r="P130" s="7">
        <f>IF(OR(G130="",H130="",I130="",J130="",L130=""),1,0)</f>
        <v>1</v>
      </c>
      <c r="Q130" s="7">
        <f>IF(AND(J130&lt;&gt;"",J130&lt;=0),1,0)</f>
        <v>0</v>
      </c>
      <c r="R130" s="20" t="str">
        <f>IF(OR(G130="",H130=""),"",G130/H130)</f>
        <v/>
      </c>
      <c r="S130" s="20">
        <f>IF(OR(I130="",J130="",Q130=1),"",I130/J130)</f>
        <v>3.7025575946895746</v>
      </c>
      <c r="T130" s="23">
        <f>IF(OR(K130="",L130=""),"",K130/L130*365)</f>
        <v>109.77266872746006</v>
      </c>
      <c r="U130" s="20">
        <f>IF(OR(M130="",L130=""),"",M130/L130)</f>
        <v>-0.03883307573415765</v>
      </c>
      <c r="V130" s="8">
        <f>IF(ISTEXT(C130),"글자 섞임",ROUND(C130*VLOOKUP(N130,'환율_기준일'!$A$4:$E$7,5,FALSE)/'환율_기준일'!$E$4,2))</f>
        <v>4850</v>
      </c>
      <c r="W130" s="7">
        <f>IF(ISNUMBER(V130),IF(V130&gt;F130*10,1,0),"")</f>
        <v>0</v>
      </c>
      <c r="X130" s="7" t="str">
        <f>IF(Q130=1,COUNTIF($Q$2:Q130,1),"")</f>
        <v/>
      </c>
    </row>
    <row r="131">
      <c r="A131" s="16" t="inlineStr">
        <is>
          <t>B130</t>
        </is>
      </c>
      <c r="B131" s="16" t="inlineStr">
        <is>
          <t>USD</t>
        </is>
      </c>
      <c r="C131" s="15" t="n">
        <v>0</v>
      </c>
      <c r="D131" s="15" t="n">
        <v>0</v>
      </c>
      <c r="E131" s="15" t="n">
        <v>0</v>
      </c>
      <c r="F131" s="15" t="n">
        <v>10000</v>
      </c>
      <c r="G131" s="15" t="n">
        <v>7411000</v>
      </c>
      <c r="H131" s="15" t="n">
        <v>6237000</v>
      </c>
      <c r="I131" s="15" t="n">
        <v>9960000</v>
      </c>
      <c r="J131" s="15" t="n">
        <v>2102000</v>
      </c>
      <c r="K131" s="16" t="n"/>
      <c r="L131" s="15" t="n">
        <v>7783000</v>
      </c>
      <c r="M131" s="16" t="n"/>
      <c r="N131" s="7" t="str">
        <f>IFERROR(VLOOKUP(TRIM(B131),'확인표_A'!$A$6:$B$14,2,FALSE),"확인 필요")</f>
        <v>USD</v>
      </c>
      <c r="O131" s="7">
        <f>SUMPRODUCT(--ISTEXT(C131:E131))</f>
        <v>0</v>
      </c>
      <c r="P131" s="7">
        <f>IF(OR(G131="",H131="",I131="",J131="",L131=""),1,0)</f>
        <v>0</v>
      </c>
      <c r="Q131" s="7">
        <f>IF(AND(J131&lt;&gt;"",J131&lt;=0),1,0)</f>
        <v>0</v>
      </c>
      <c r="R131" s="20">
        <f>IF(OR(G131="",H131=""),"",G131/H131)</f>
        <v>1.188231521564855</v>
      </c>
      <c r="S131" s="20">
        <f>IF(OR(I131="",J131="",Q131=1),"",I131/J131)</f>
        <v>4.738344433872502</v>
      </c>
      <c r="T131" s="23" t="str">
        <f>IF(OR(K131="",L131=""),"",K131/L131*365)</f>
        <v/>
      </c>
      <c r="U131" s="20" t="str">
        <f>IF(OR(M131="",L131=""),"",M131/L131)</f>
        <v/>
      </c>
      <c r="V131" s="8">
        <f>IF(ISTEXT(C131),"글자 섞임",ROUND(C131*VLOOKUP(N131,'환율_기준일'!$A$4:$E$7,5,FALSE)/'환율_기준일'!$E$4,2))</f>
        <v>0</v>
      </c>
      <c r="W131" s="7">
        <f>IF(ISNUMBER(V131),IF(V131&gt;F131*10,1,0),"")</f>
        <v>0</v>
      </c>
      <c r="X131" s="7" t="str">
        <f>IF(Q131=1,COUNTIF($Q$2:Q131,1),"")</f>
        <v/>
      </c>
    </row>
    <row r="132">
      <c r="A132" s="16" t="inlineStr">
        <is>
          <t>B131</t>
        </is>
      </c>
      <c r="B132" s="16" t="inlineStr">
        <is>
          <t>US$</t>
        </is>
      </c>
      <c r="C132" s="15" t="n">
        <v>0</v>
      </c>
      <c r="D132" s="15" t="n">
        <v>0</v>
      </c>
      <c r="E132" s="15" t="n">
        <v>0</v>
      </c>
      <c r="F132" s="15" t="n">
        <v>10000</v>
      </c>
      <c r="G132" s="15" t="n">
        <v>3956000</v>
      </c>
      <c r="H132" s="15" t="n">
        <v>2960000</v>
      </c>
      <c r="I132" s="15" t="n">
        <v>4034000</v>
      </c>
      <c r="J132" s="15" t="n">
        <v>1116000</v>
      </c>
      <c r="K132" s="15" t="n">
        <v>1707000</v>
      </c>
      <c r="L132" s="15" t="n">
        <v>7096000</v>
      </c>
      <c r="M132" s="15" t="n">
        <v>435000</v>
      </c>
      <c r="N132" s="7" t="str">
        <f>IFERROR(VLOOKUP(TRIM(B132),'확인표_A'!$A$6:$B$14,2,FALSE),"확인 필요")</f>
        <v>USD</v>
      </c>
      <c r="O132" s="7">
        <f>SUMPRODUCT(--ISTEXT(C132:E132))</f>
        <v>0</v>
      </c>
      <c r="P132" s="7">
        <f>IF(OR(G132="",H132="",I132="",J132="",L132=""),1,0)</f>
        <v>0</v>
      </c>
      <c r="Q132" s="7">
        <f>IF(AND(J132&lt;&gt;"",J132&lt;=0),1,0)</f>
        <v>0</v>
      </c>
      <c r="R132" s="20">
        <f>IF(OR(G132="",H132=""),"",G132/H132)</f>
        <v>1.3364864864864865</v>
      </c>
      <c r="S132" s="20">
        <f>IF(OR(I132="",J132="",Q132=1),"",I132/J132)</f>
        <v>3.6146953405017923</v>
      </c>
      <c r="T132" s="23">
        <f>IF(OR(K132="",L132=""),"",K132/L132*365)</f>
        <v>87.80369222096955</v>
      </c>
      <c r="U132" s="20">
        <f>IF(OR(M132="",L132=""),"",M132/L132)</f>
        <v>0.0613021420518602</v>
      </c>
      <c r="V132" s="8">
        <f>IF(ISTEXT(C132),"글자 섞임",ROUND(C132*VLOOKUP(N132,'환율_기준일'!$A$4:$E$7,5,FALSE)/'환율_기준일'!$E$4,2))</f>
        <v>0</v>
      </c>
      <c r="W132" s="7">
        <f>IF(ISNUMBER(V132),IF(V132&gt;F132*10,1,0),"")</f>
        <v>0</v>
      </c>
      <c r="X132" s="7" t="str">
        <f>IF(Q132=1,COUNTIF($Q$2:Q132,1),"")</f>
        <v/>
      </c>
    </row>
    <row r="133">
      <c r="A133" s="16" t="inlineStr">
        <is>
          <t>B132</t>
        </is>
      </c>
      <c r="B133" s="16" t="inlineStr">
        <is>
          <t>usd</t>
        </is>
      </c>
      <c r="C133" s="15" t="n">
        <v>34200</v>
      </c>
      <c r="D133" s="15" t="n">
        <v>34200</v>
      </c>
      <c r="E133" s="15" t="n">
        <v>0</v>
      </c>
      <c r="F133" s="15" t="n">
        <v>60000</v>
      </c>
      <c r="G133" s="15" t="n">
        <v>8852000</v>
      </c>
      <c r="H133" s="16" t="n"/>
      <c r="I133" s="15" t="n">
        <v>5469000</v>
      </c>
      <c r="J133" s="15" t="n">
        <v>9501000</v>
      </c>
      <c r="K133" s="15" t="n">
        <v>4877000</v>
      </c>
      <c r="L133" s="15" t="n">
        <v>43206000</v>
      </c>
      <c r="M133" s="16" t="n"/>
      <c r="N133" s="7" t="str">
        <f>IFERROR(VLOOKUP(TRIM(B133),'확인표_A'!$A$6:$B$14,2,FALSE),"확인 필요")</f>
        <v>USD</v>
      </c>
      <c r="O133" s="7">
        <f>SUMPRODUCT(--ISTEXT(C133:E133))</f>
        <v>0</v>
      </c>
      <c r="P133" s="7">
        <f>IF(OR(G133="",H133="",I133="",J133="",L133=""),1,0)</f>
        <v>1</v>
      </c>
      <c r="Q133" s="7">
        <f>IF(AND(J133&lt;&gt;"",J133&lt;=0),1,0)</f>
        <v>0</v>
      </c>
      <c r="R133" s="20" t="str">
        <f>IF(OR(G133="",H133=""),"",G133/H133)</f>
        <v/>
      </c>
      <c r="S133" s="20">
        <f>IF(OR(I133="",J133="",Q133=1),"",I133/J133)</f>
        <v>0.5756236185664667</v>
      </c>
      <c r="T133" s="23">
        <f>IF(OR(K133="",L133=""),"",K133/L133*365)</f>
        <v>41.200411979817616</v>
      </c>
      <c r="U133" s="20" t="str">
        <f>IF(OR(M133="",L133=""),"",M133/L133)</f>
        <v/>
      </c>
      <c r="V133" s="8">
        <f>IF(ISTEXT(C133),"글자 섞임",ROUND(C133*VLOOKUP(N133,'환율_기준일'!$A$4:$E$7,5,FALSE)/'환율_기준일'!$E$4,2))</f>
        <v>34200</v>
      </c>
      <c r="W133" s="7">
        <f>IF(ISNUMBER(V133),IF(V133&gt;F133*10,1,0),"")</f>
        <v>0</v>
      </c>
      <c r="X133" s="7" t="str">
        <f>IF(Q133=1,COUNTIF($Q$2:Q133,1),"")</f>
        <v/>
      </c>
    </row>
    <row r="134">
      <c r="A134" s="16" t="inlineStr">
        <is>
          <t>B133</t>
        </is>
      </c>
      <c r="B134" s="16" t="inlineStr">
        <is>
          <t>USD</t>
        </is>
      </c>
      <c r="C134" s="15" t="n">
        <v>16360</v>
      </c>
      <c r="D134" s="15" t="n">
        <v>16360</v>
      </c>
      <c r="E134" s="15" t="n">
        <v>0</v>
      </c>
      <c r="F134" s="15" t="n">
        <v>10000</v>
      </c>
      <c r="G134" s="15" t="n">
        <v>8455000</v>
      </c>
      <c r="H134" s="15" t="n">
        <v>4288000</v>
      </c>
      <c r="I134" s="15" t="n">
        <v>7650000</v>
      </c>
      <c r="J134" s="15" t="n">
        <v>14802000</v>
      </c>
      <c r="K134" s="15" t="n">
        <v>3479000</v>
      </c>
      <c r="L134" s="15" t="n">
        <v>38565000</v>
      </c>
      <c r="M134" s="15" t="n">
        <v>3957000</v>
      </c>
      <c r="N134" s="7" t="str">
        <f>IFERROR(VLOOKUP(TRIM(B134),'확인표_A'!$A$6:$B$14,2,FALSE),"확인 필요")</f>
        <v>USD</v>
      </c>
      <c r="O134" s="7">
        <f>SUMPRODUCT(--ISTEXT(C134:E134))</f>
        <v>0</v>
      </c>
      <c r="P134" s="7">
        <f>IF(OR(G134="",H134="",I134="",J134="",L134=""),1,0)</f>
        <v>0</v>
      </c>
      <c r="Q134" s="7">
        <f>IF(AND(J134&lt;&gt;"",J134&lt;=0),1,0)</f>
        <v>0</v>
      </c>
      <c r="R134" s="20">
        <f>IF(OR(G134="",H134=""),"",G134/H134)</f>
        <v>1.9717817164179106</v>
      </c>
      <c r="S134" s="20">
        <f>IF(OR(I134="",J134="",Q134=1),"",I134/J134)</f>
        <v>0.5168220510741791</v>
      </c>
      <c r="T134" s="23">
        <f>IF(OR(K134="",L134=""),"",K134/L134*365)</f>
        <v>32.92713600414884</v>
      </c>
      <c r="U134" s="20">
        <f>IF(OR(M134="",L134=""),"",M134/L134)</f>
        <v>0.10260598988720342</v>
      </c>
      <c r="V134" s="8">
        <f>IF(ISTEXT(C134),"글자 섞임",ROUND(C134*VLOOKUP(N134,'환율_기준일'!$A$4:$E$7,5,FALSE)/'환율_기준일'!$E$4,2))</f>
        <v>16360</v>
      </c>
      <c r="W134" s="7">
        <f>IF(ISNUMBER(V134),IF(V134&gt;F134*10,1,0),"")</f>
        <v>0</v>
      </c>
      <c r="X134" s="7" t="str">
        <f>IF(Q134=1,COUNTIF($Q$2:Q134,1),"")</f>
        <v/>
      </c>
    </row>
    <row r="135">
      <c r="A135" s="16" t="inlineStr">
        <is>
          <t>B134</t>
        </is>
      </c>
      <c r="B135" s="16" t="inlineStr">
        <is>
          <t>USD</t>
        </is>
      </c>
      <c r="C135" s="15" t="n">
        <v>68230</v>
      </c>
      <c r="D135" s="15" t="n">
        <v>27430</v>
      </c>
      <c r="E135" s="15" t="n">
        <v>0</v>
      </c>
      <c r="F135" s="15" t="n">
        <v>40000</v>
      </c>
      <c r="G135" s="15" t="n">
        <v>215305000</v>
      </c>
      <c r="H135" s="15" t="n">
        <v>187636000</v>
      </c>
      <c r="I135" s="15" t="n">
        <v>393898000</v>
      </c>
      <c r="J135" s="15" t="n">
        <v>232712000</v>
      </c>
      <c r="K135" s="16" t="n"/>
      <c r="L135" s="15" t="n">
        <v>345019000</v>
      </c>
      <c r="M135" s="15" t="n">
        <v>12345000</v>
      </c>
      <c r="N135" s="7" t="str">
        <f>IFERROR(VLOOKUP(TRIM(B135),'확인표_A'!$A$6:$B$14,2,FALSE),"확인 필요")</f>
        <v>USD</v>
      </c>
      <c r="O135" s="7">
        <f>SUMPRODUCT(--ISTEXT(C135:E135))</f>
        <v>0</v>
      </c>
      <c r="P135" s="7">
        <f>IF(OR(G135="",H135="",I135="",J135="",L135=""),1,0)</f>
        <v>0</v>
      </c>
      <c r="Q135" s="7">
        <f>IF(AND(J135&lt;&gt;"",J135&lt;=0),1,0)</f>
        <v>0</v>
      </c>
      <c r="R135" s="20">
        <f>IF(OR(G135="",H135=""),"",G135/H135)</f>
        <v>1.147461041591166</v>
      </c>
      <c r="S135" s="20">
        <f>IF(OR(I135="",J135="",Q135=1),"",I135/J135)</f>
        <v>1.6926415483516106</v>
      </c>
      <c r="T135" s="23" t="str">
        <f>IF(OR(K135="",L135=""),"",K135/L135*365)</f>
        <v/>
      </c>
      <c r="U135" s="20">
        <f>IF(OR(M135="",L135=""),"",M135/L135)</f>
        <v>0.03578063816775308</v>
      </c>
      <c r="V135" s="8">
        <f>IF(ISTEXT(C135),"글자 섞임",ROUND(C135*VLOOKUP(N135,'환율_기준일'!$A$4:$E$7,5,FALSE)/'환율_기준일'!$E$4,2))</f>
        <v>68230</v>
      </c>
      <c r="W135" s="7">
        <f>IF(ISNUMBER(V135),IF(V135&gt;F135*10,1,0),"")</f>
        <v>0</v>
      </c>
      <c r="X135" s="7" t="str">
        <f>IF(Q135=1,COUNTIF($Q$2:Q135,1),"")</f>
        <v/>
      </c>
    </row>
    <row r="136">
      <c r="A136" s="16" t="inlineStr">
        <is>
          <t>B135</t>
        </is>
      </c>
      <c r="B136" s="16" t="inlineStr">
        <is>
          <t>USD</t>
        </is>
      </c>
      <c r="C136" s="15" t="n">
        <v>5520</v>
      </c>
      <c r="D136" s="15" t="n">
        <v>5520</v>
      </c>
      <c r="E136" s="15" t="n">
        <v>0</v>
      </c>
      <c r="F136" s="15" t="n">
        <v>30000</v>
      </c>
      <c r="G136" s="16" t="n"/>
      <c r="H136" s="16" t="n"/>
      <c r="I136" s="16" t="n"/>
      <c r="J136" s="16" t="n"/>
      <c r="K136" s="16" t="n"/>
      <c r="L136" s="16" t="n"/>
      <c r="M136" s="16" t="n"/>
      <c r="N136" s="7" t="str">
        <f>IFERROR(VLOOKUP(TRIM(B136),'확인표_A'!$A$6:$B$14,2,FALSE),"확인 필요")</f>
        <v>USD</v>
      </c>
      <c r="O136" s="7">
        <f>SUMPRODUCT(--ISTEXT(C136:E136))</f>
        <v>0</v>
      </c>
      <c r="P136" s="7">
        <f>IF(OR(G136="",H136="",I136="",J136="",L136=""),1,0)</f>
        <v>1</v>
      </c>
      <c r="Q136" s="7">
        <f>IF(AND(J136&lt;&gt;"",J136&lt;=0),1,0)</f>
        <v>0</v>
      </c>
      <c r="R136" s="20" t="str">
        <f>IF(OR(G136="",H136=""),"",G136/H136)</f>
        <v/>
      </c>
      <c r="S136" s="20" t="str">
        <f>IF(OR(I136="",J136="",Q136=1),"",I136/J136)</f>
        <v/>
      </c>
      <c r="T136" s="23" t="str">
        <f>IF(OR(K136="",L136=""),"",K136/L136*365)</f>
        <v/>
      </c>
      <c r="U136" s="20" t="str">
        <f>IF(OR(M136="",L136=""),"",M136/L136)</f>
        <v/>
      </c>
      <c r="V136" s="8">
        <f>IF(ISTEXT(C136),"글자 섞임",ROUND(C136*VLOOKUP(N136,'환율_기준일'!$A$4:$E$7,5,FALSE)/'환율_기준일'!$E$4,2))</f>
        <v>5520</v>
      </c>
      <c r="W136" s="7">
        <f>IF(ISNUMBER(V136),IF(V136&gt;F136*10,1,0),"")</f>
        <v>0</v>
      </c>
      <c r="X136" s="7" t="str">
        <f>IF(Q136=1,COUNTIF($Q$2:Q136,1),"")</f>
        <v/>
      </c>
    </row>
    <row r="137">
      <c r="A137" s="16" t="inlineStr">
        <is>
          <t>B136</t>
        </is>
      </c>
      <c r="B137" s="16" t="inlineStr">
        <is>
          <t>EUR</t>
        </is>
      </c>
      <c r="C137" s="15" t="n">
        <v>0</v>
      </c>
      <c r="D137" s="15" t="n">
        <v>0</v>
      </c>
      <c r="E137" s="15" t="n">
        <v>0</v>
      </c>
      <c r="F137" s="15" t="n">
        <v>10000</v>
      </c>
      <c r="G137" s="15" t="n">
        <v>5367000</v>
      </c>
      <c r="H137" s="15" t="n">
        <v>5485000</v>
      </c>
      <c r="I137" s="15" t="n">
        <v>11266000</v>
      </c>
      <c r="J137" s="15" t="n">
        <v>4385000</v>
      </c>
      <c r="K137" s="15" t="n">
        <v>2216000</v>
      </c>
      <c r="L137" s="15" t="n">
        <v>10671000</v>
      </c>
      <c r="M137" s="15" t="n">
        <v>645000</v>
      </c>
      <c r="N137" s="7" t="str">
        <f>IFERROR(VLOOKUP(TRIM(B137),'확인표_A'!$A$6:$B$14,2,FALSE),"확인 필요")</f>
        <v>EUR</v>
      </c>
      <c r="O137" s="7">
        <f>SUMPRODUCT(--ISTEXT(C137:E137))</f>
        <v>0</v>
      </c>
      <c r="P137" s="7">
        <f>IF(OR(G137="",H137="",I137="",J137="",L137=""),1,0)</f>
        <v>0</v>
      </c>
      <c r="Q137" s="7">
        <f>IF(AND(J137&lt;&gt;"",J137&lt;=0),1,0)</f>
        <v>0</v>
      </c>
      <c r="R137" s="20">
        <f>IF(OR(G137="",H137=""),"",G137/H137)</f>
        <v>0.9784867821330903</v>
      </c>
      <c r="S137" s="20">
        <f>IF(OR(I137="",J137="",Q137=1),"",I137/J137)</f>
        <v>2.56921322690992</v>
      </c>
      <c r="T137" s="23">
        <f>IF(OR(K137="",L137=""),"",K137/L137*365)</f>
        <v>75.79795707993627</v>
      </c>
      <c r="U137" s="20">
        <f>IF(OR(M137="",L137=""),"",M137/L137)</f>
        <v>0.0604441945459657</v>
      </c>
      <c r="V137" s="8">
        <f>IF(ISTEXT(C137),"글자 섞임",ROUND(C137*VLOOKUP(N137,'환율_기준일'!$A$4:$E$7,5,FALSE)/'환율_기준일'!$E$4,2))</f>
        <v>0</v>
      </c>
      <c r="W137" s="7">
        <f>IF(ISNUMBER(V137),IF(V137&gt;F137*10,1,0),"")</f>
        <v>0</v>
      </c>
      <c r="X137" s="7" t="str">
        <f>IF(Q137=1,COUNTIF($Q$2:Q137,1),"")</f>
        <v/>
      </c>
    </row>
    <row r="138">
      <c r="A138" s="16" t="inlineStr">
        <is>
          <t>B137</t>
        </is>
      </c>
      <c r="B138" s="16" t="inlineStr">
        <is>
          <t>US$</t>
        </is>
      </c>
      <c r="C138" s="15" t="n">
        <v>0</v>
      </c>
      <c r="D138" s="15" t="n">
        <v>0</v>
      </c>
      <c r="E138" s="15" t="n">
        <v>0</v>
      </c>
      <c r="F138" s="15" t="n">
        <v>10000</v>
      </c>
      <c r="G138" s="15" t="n">
        <v>10109000</v>
      </c>
      <c r="H138" s="15" t="n">
        <v>4000000</v>
      </c>
      <c r="I138" s="15" t="n">
        <v>6648000</v>
      </c>
      <c r="J138" s="15" t="n">
        <v>3558000</v>
      </c>
      <c r="K138" s="15" t="n">
        <v>3487000</v>
      </c>
      <c r="L138" s="15" t="n">
        <v>24661000</v>
      </c>
      <c r="M138" s="15" t="n">
        <v>1518000</v>
      </c>
      <c r="N138" s="7" t="str">
        <f>IFERROR(VLOOKUP(TRIM(B138),'확인표_A'!$A$6:$B$14,2,FALSE),"확인 필요")</f>
        <v>USD</v>
      </c>
      <c r="O138" s="7">
        <f>SUMPRODUCT(--ISTEXT(C138:E138))</f>
        <v>0</v>
      </c>
      <c r="P138" s="7">
        <f>IF(OR(G138="",H138="",I138="",J138="",L138=""),1,0)</f>
        <v>0</v>
      </c>
      <c r="Q138" s="7">
        <f>IF(AND(J138&lt;&gt;"",J138&lt;=0),1,0)</f>
        <v>0</v>
      </c>
      <c r="R138" s="20">
        <f>IF(OR(G138="",H138=""),"",G138/H138)</f>
        <v>2.52725</v>
      </c>
      <c r="S138" s="20">
        <f>IF(OR(I138="",J138="",Q138=1),"",I138/J138)</f>
        <v>1.8684654300168635</v>
      </c>
      <c r="T138" s="23">
        <f>IF(OR(K138="",L138=""),"",K138/L138*365)</f>
        <v>51.61003203438627</v>
      </c>
      <c r="U138" s="20">
        <f>IF(OR(M138="",L138=""),"",M138/L138)</f>
        <v>0.061554681480880745</v>
      </c>
      <c r="V138" s="8">
        <f>IF(ISTEXT(C138),"글자 섞임",ROUND(C138*VLOOKUP(N138,'환율_기준일'!$A$4:$E$7,5,FALSE)/'환율_기준일'!$E$4,2))</f>
        <v>0</v>
      </c>
      <c r="W138" s="7">
        <f>IF(ISNUMBER(V138),IF(V138&gt;F138*10,1,0),"")</f>
        <v>0</v>
      </c>
      <c r="X138" s="7" t="str">
        <f>IF(Q138=1,COUNTIF($Q$2:Q138,1),"")</f>
        <v/>
      </c>
    </row>
    <row r="139">
      <c r="A139" s="16" t="inlineStr">
        <is>
          <t>B138</t>
        </is>
      </c>
      <c r="B139" s="16" t="inlineStr">
        <is>
          <t>CNY</t>
        </is>
      </c>
      <c r="C139" s="15" t="n">
        <v>35700</v>
      </c>
      <c r="D139" s="15" t="n">
        <v>35700</v>
      </c>
      <c r="E139" s="15" t="n">
        <v>0</v>
      </c>
      <c r="F139" s="15" t="n">
        <v>20000</v>
      </c>
      <c r="G139" s="15" t="n">
        <v>1572000</v>
      </c>
      <c r="H139" s="15" t="n">
        <v>1016000</v>
      </c>
      <c r="I139" s="15" t="n">
        <v>1495000</v>
      </c>
      <c r="J139" s="15" t="n">
        <v>1066000</v>
      </c>
      <c r="K139" s="15" t="n">
        <v>558000</v>
      </c>
      <c r="L139" s="15" t="n">
        <v>3397000</v>
      </c>
      <c r="M139" s="15" t="n">
        <v>230000</v>
      </c>
      <c r="N139" s="7" t="str">
        <f>IFERROR(VLOOKUP(TRIM(B139),'확인표_A'!$A$6:$B$14,2,FALSE),"확인 필요")</f>
        <v>CNY</v>
      </c>
      <c r="O139" s="7">
        <f>SUMPRODUCT(--ISTEXT(C139:E139))</f>
        <v>0</v>
      </c>
      <c r="P139" s="7">
        <f>IF(OR(G139="",H139="",I139="",J139="",L139=""),1,0)</f>
        <v>0</v>
      </c>
      <c r="Q139" s="7">
        <f>IF(AND(J139&lt;&gt;"",J139&lt;=0),1,0)</f>
        <v>0</v>
      </c>
      <c r="R139" s="20">
        <f>IF(OR(G139="",H139=""),"",G139/H139)</f>
        <v>1.547244094488189</v>
      </c>
      <c r="S139" s="20">
        <f>IF(OR(I139="",J139="",Q139=1),"",I139/J139)</f>
        <v>1.4024390243902438</v>
      </c>
      <c r="T139" s="23">
        <f>IF(OR(K139="",L139=""),"",K139/L139*365)</f>
        <v>59.95584339122756</v>
      </c>
      <c r="U139" s="20">
        <f>IF(OR(M139="",L139=""),"",M139/L139)</f>
        <v>0.06770680011775096</v>
      </c>
      <c r="V139" s="8">
        <f>IF(ISTEXT(C139),"글자 섞임",ROUND(C139*VLOOKUP(N139,'환율_기준일'!$A$4:$E$7,5,FALSE)/'환율_기준일'!$E$4,2))</f>
        <v>5312.8</v>
      </c>
      <c r="W139" s="7">
        <f>IF(ISNUMBER(V139),IF(V139&gt;F139*10,1,0),"")</f>
        <v>0</v>
      </c>
      <c r="X139" s="7" t="str">
        <f>IF(Q139=1,COUNTIF($Q$2:Q139,1),"")</f>
        <v/>
      </c>
    </row>
    <row r="140">
      <c r="A140" s="16" t="inlineStr">
        <is>
          <t>B139</t>
        </is>
      </c>
      <c r="B140" s="16" t="inlineStr">
        <is>
          <t>EUR</t>
        </is>
      </c>
      <c r="C140" s="15" t="n">
        <v>94050</v>
      </c>
      <c r="D140" s="15" t="n">
        <v>94050</v>
      </c>
      <c r="E140" s="15" t="n">
        <v>0</v>
      </c>
      <c r="F140" s="15" t="n">
        <v>70000</v>
      </c>
      <c r="G140" s="15" t="n">
        <v>12330000</v>
      </c>
      <c r="H140" s="15" t="n">
        <v>9682000</v>
      </c>
      <c r="I140" s="15" t="n">
        <v>20873000</v>
      </c>
      <c r="J140" s="15" t="n">
        <v>8554000</v>
      </c>
      <c r="K140" s="15" t="n">
        <v>6572000</v>
      </c>
      <c r="L140" s="15" t="n">
        <v>26122000</v>
      </c>
      <c r="M140" s="15" t="n">
        <v>1792000</v>
      </c>
      <c r="N140" s="7" t="str">
        <f>IFERROR(VLOOKUP(TRIM(B140),'확인표_A'!$A$6:$B$14,2,FALSE),"확인 필요")</f>
        <v>EUR</v>
      </c>
      <c r="O140" s="7">
        <f>SUMPRODUCT(--ISTEXT(C140:E140))</f>
        <v>0</v>
      </c>
      <c r="P140" s="7">
        <f>IF(OR(G140="",H140="",I140="",J140="",L140=""),1,0)</f>
        <v>0</v>
      </c>
      <c r="Q140" s="7">
        <f>IF(AND(J140&lt;&gt;"",J140&lt;=0),1,0)</f>
        <v>0</v>
      </c>
      <c r="R140" s="20">
        <f>IF(OR(G140="",H140=""),"",G140/H140)</f>
        <v>1.2734972113199752</v>
      </c>
      <c r="S140" s="20">
        <f>IF(OR(I140="",J140="",Q140=1),"",I140/J140)</f>
        <v>2.440144961421557</v>
      </c>
      <c r="T140" s="23">
        <f>IF(OR(K140="",L140=""),"",K140/L140*365)</f>
        <v>91.82987520098001</v>
      </c>
      <c r="U140" s="20">
        <f>IF(OR(M140="",L140=""),"",M140/L140)</f>
        <v>0.06860117908276549</v>
      </c>
      <c r="V140" s="8">
        <f>IF(ISTEXT(C140),"글자 섞임",ROUND(C140*VLOOKUP(N140,'환율_기준일'!$A$4:$E$7,5,FALSE)/'환율_기준일'!$E$4,2))</f>
        <v>109258.16</v>
      </c>
      <c r="W140" s="7">
        <f>IF(ISNUMBER(V140),IF(V140&gt;F140*10,1,0),"")</f>
        <v>0</v>
      </c>
      <c r="X140" s="7" t="str">
        <f>IF(Q140=1,COUNTIF($Q$2:Q140,1),"")</f>
        <v/>
      </c>
    </row>
    <row r="141">
      <c r="A141" s="16" t="inlineStr">
        <is>
          <t>B140</t>
        </is>
      </c>
      <c r="B141" s="16" t="inlineStr">
        <is>
          <t>USD</t>
        </is>
      </c>
      <c r="C141" s="15" t="n">
        <v>72990</v>
      </c>
      <c r="D141" s="15" t="n">
        <v>72990</v>
      </c>
      <c r="E141" s="15" t="n">
        <v>0</v>
      </c>
      <c r="F141" s="15" t="n">
        <v>160000</v>
      </c>
      <c r="G141" s="15" t="n">
        <v>90616000</v>
      </c>
      <c r="H141" s="15" t="n">
        <v>61841000</v>
      </c>
      <c r="I141" s="15" t="n">
        <v>117547000</v>
      </c>
      <c r="J141" s="15" t="n">
        <v>106220000</v>
      </c>
      <c r="K141" s="15" t="n">
        <v>37936000</v>
      </c>
      <c r="L141" s="15" t="n">
        <v>232218000</v>
      </c>
      <c r="M141" s="16" t="n"/>
      <c r="N141" s="7" t="str">
        <f>IFERROR(VLOOKUP(TRIM(B141),'확인표_A'!$A$6:$B$14,2,FALSE),"확인 필요")</f>
        <v>USD</v>
      </c>
      <c r="O141" s="7">
        <f>SUMPRODUCT(--ISTEXT(C141:E141))</f>
        <v>0</v>
      </c>
      <c r="P141" s="7">
        <f>IF(OR(G141="",H141="",I141="",J141="",L141=""),1,0)</f>
        <v>0</v>
      </c>
      <c r="Q141" s="7">
        <f>IF(AND(J141&lt;&gt;"",J141&lt;=0),1,0)</f>
        <v>0</v>
      </c>
      <c r="R141" s="20">
        <f>IF(OR(G141="",H141=""),"",G141/H141)</f>
        <v>1.4653061884510277</v>
      </c>
      <c r="S141" s="20">
        <f>IF(OR(I141="",J141="",Q141=1),"",I141/J141)</f>
        <v>1.106637168141593</v>
      </c>
      <c r="T141" s="23">
        <f>IF(OR(K141="",L141=""),"",K141/L141*365)</f>
        <v>59.62776356699309</v>
      </c>
      <c r="U141" s="20" t="str">
        <f>IF(OR(M141="",L141=""),"",M141/L141)</f>
        <v/>
      </c>
      <c r="V141" s="8">
        <f>IF(ISTEXT(C141),"글자 섞임",ROUND(C141*VLOOKUP(N141,'환율_기준일'!$A$4:$E$7,5,FALSE)/'환율_기준일'!$E$4,2))</f>
        <v>72990</v>
      </c>
      <c r="W141" s="7">
        <f>IF(ISNUMBER(V141),IF(V141&gt;F141*10,1,0),"")</f>
        <v>0</v>
      </c>
      <c r="X141" s="7" t="str">
        <f>IF(Q141=1,COUNTIF($Q$2:Q141,1),"")</f>
        <v/>
      </c>
    </row>
    <row r="142">
      <c r="A142" s="16" t="inlineStr">
        <is>
          <t>B141</t>
        </is>
      </c>
      <c r="B142" s="16" t="inlineStr">
        <is>
          <t>EUR</t>
        </is>
      </c>
      <c r="C142" s="16" t="inlineStr">
        <is>
          <t>47.0k</t>
        </is>
      </c>
      <c r="D142" s="15" t="n">
        <v>47030</v>
      </c>
      <c r="E142" s="15" t="n">
        <v>0</v>
      </c>
      <c r="F142" s="15" t="n">
        <v>80000</v>
      </c>
      <c r="G142" s="15" t="n">
        <v>168266000</v>
      </c>
      <c r="H142" s="15" t="n">
        <v>100852000</v>
      </c>
      <c r="I142" s="15" t="n">
        <v>172032000</v>
      </c>
      <c r="J142" s="15" t="n">
        <v>638237000</v>
      </c>
      <c r="K142" s="15" t="n">
        <v>65071000</v>
      </c>
      <c r="L142" s="15" t="n">
        <v>525147000</v>
      </c>
      <c r="M142" s="15" t="n">
        <v>85088000</v>
      </c>
      <c r="N142" s="7" t="str">
        <f>IFERROR(VLOOKUP(TRIM(B142),'확인표_A'!$A$6:$B$14,2,FALSE),"확인 필요")</f>
        <v>EUR</v>
      </c>
      <c r="O142" s="7">
        <f>SUMPRODUCT(--ISTEXT(C142:E142))</f>
        <v>1</v>
      </c>
      <c r="P142" s="7">
        <f>IF(OR(G142="",H142="",I142="",J142="",L142=""),1,0)</f>
        <v>0</v>
      </c>
      <c r="Q142" s="7">
        <f>IF(AND(J142&lt;&gt;"",J142&lt;=0),1,0)</f>
        <v>0</v>
      </c>
      <c r="R142" s="20">
        <f>IF(OR(G142="",H142=""),"",G142/H142)</f>
        <v>1.6684448498790307</v>
      </c>
      <c r="S142" s="20">
        <f>IF(OR(I142="",J142="",Q142=1),"",I142/J142)</f>
        <v>0.26954250537026214</v>
      </c>
      <c r="T142" s="23">
        <f>IF(OR(K142="",L142=""),"",K142/L142*365)</f>
        <v>45.22717448638191</v>
      </c>
      <c r="U142" s="20">
        <f>IF(OR(M142="",L142=""),"",M142/L142)</f>
        <v>0.16202701338863212</v>
      </c>
      <c r="V142" s="8" t="str">
        <f>IF(ISTEXT(C142),"글자 섞임",ROUND(C142*VLOOKUP(N142,'환율_기준일'!$A$4:$E$7,5,FALSE)/'환율_기준일'!$E$4,2))</f>
        <v>글자 섞임</v>
      </c>
      <c r="W142" s="7" t="str">
        <f>IF(ISNUMBER(V142),IF(V142&gt;F142*10,1,0),"")</f>
        <v/>
      </c>
      <c r="X142" s="7" t="str">
        <f>IF(Q142=1,COUNTIF($Q$2:Q142,1),"")</f>
        <v/>
      </c>
    </row>
    <row r="143">
      <c r="A143" s="16" t="inlineStr">
        <is>
          <t>B142</t>
        </is>
      </c>
      <c r="B143" s="16" t="inlineStr">
        <is>
          <t>usd</t>
        </is>
      </c>
      <c r="C143" s="15" t="n">
        <v>0</v>
      </c>
      <c r="D143" s="15" t="n">
        <v>0</v>
      </c>
      <c r="E143" s="15" t="n">
        <v>0</v>
      </c>
      <c r="F143" s="15" t="n">
        <v>10000</v>
      </c>
      <c r="G143" s="15" t="n">
        <v>7447000</v>
      </c>
      <c r="H143" s="15" t="n">
        <v>6466000</v>
      </c>
      <c r="I143" s="15" t="n">
        <v>13794000</v>
      </c>
      <c r="J143" s="15" t="n">
        <v>5921000</v>
      </c>
      <c r="K143" s="15" t="n">
        <v>2519000</v>
      </c>
      <c r="L143" s="15" t="n">
        <v>10933000</v>
      </c>
      <c r="M143" s="15" t="n">
        <v>-458000</v>
      </c>
      <c r="N143" s="7" t="str">
        <f>IFERROR(VLOOKUP(TRIM(B143),'확인표_A'!$A$6:$B$14,2,FALSE),"확인 필요")</f>
        <v>USD</v>
      </c>
      <c r="O143" s="7">
        <f>SUMPRODUCT(--ISTEXT(C143:E143))</f>
        <v>0</v>
      </c>
      <c r="P143" s="7">
        <f>IF(OR(G143="",H143="",I143="",J143="",L143=""),1,0)</f>
        <v>0</v>
      </c>
      <c r="Q143" s="7">
        <f>IF(AND(J143&lt;&gt;"",J143&lt;=0),1,0)</f>
        <v>0</v>
      </c>
      <c r="R143" s="20">
        <f>IF(OR(G143="",H143=""),"",G143/H143)</f>
        <v>1.1517166718218372</v>
      </c>
      <c r="S143" s="20">
        <f>IF(OR(I143="",J143="",Q143=1),"",I143/J143)</f>
        <v>2.329674041547036</v>
      </c>
      <c r="T143" s="23">
        <f>IF(OR(K143="",L143=""),"",K143/L143*365)</f>
        <v>84.09722857404189</v>
      </c>
      <c r="U143" s="20">
        <f>IF(OR(M143="",L143=""),"",M143/L143)</f>
        <v>-0.04189152108295985</v>
      </c>
      <c r="V143" s="8">
        <f>IF(ISTEXT(C143),"글자 섞임",ROUND(C143*VLOOKUP(N143,'환율_기준일'!$A$4:$E$7,5,FALSE)/'환율_기준일'!$E$4,2))</f>
        <v>0</v>
      </c>
      <c r="W143" s="7">
        <f>IF(ISNUMBER(V143),IF(V143&gt;F143*10,1,0),"")</f>
        <v>0</v>
      </c>
      <c r="X143" s="7" t="str">
        <f>IF(Q143=1,COUNTIF($Q$2:Q143,1),"")</f>
        <v/>
      </c>
    </row>
    <row r="144">
      <c r="A144" s="16" t="inlineStr">
        <is>
          <t>B143</t>
        </is>
      </c>
      <c r="B144" s="16" t="inlineStr">
        <is>
          <t>USD</t>
        </is>
      </c>
      <c r="C144" s="15" t="n">
        <v>0</v>
      </c>
      <c r="D144" s="15" t="n">
        <v>0</v>
      </c>
      <c r="E144" s="15" t="n">
        <v>0</v>
      </c>
      <c r="F144" s="15" t="n">
        <v>20000</v>
      </c>
      <c r="G144" s="15" t="n">
        <v>30498000</v>
      </c>
      <c r="H144" s="15" t="n">
        <v>18664000</v>
      </c>
      <c r="I144" s="15" t="n">
        <v>29544000</v>
      </c>
      <c r="J144" s="15" t="n">
        <v>33502000</v>
      </c>
      <c r="K144" s="15" t="n">
        <v>10559000</v>
      </c>
      <c r="L144" s="15" t="n">
        <v>94416000</v>
      </c>
      <c r="M144" s="15" t="n">
        <v>9531000</v>
      </c>
      <c r="N144" s="7" t="str">
        <f>IFERROR(VLOOKUP(TRIM(B144),'확인표_A'!$A$6:$B$14,2,FALSE),"확인 필요")</f>
        <v>USD</v>
      </c>
      <c r="O144" s="7">
        <f>SUMPRODUCT(--ISTEXT(C144:E144))</f>
        <v>0</v>
      </c>
      <c r="P144" s="7">
        <f>IF(OR(G144="",H144="",I144="",J144="",L144=""),1,0)</f>
        <v>0</v>
      </c>
      <c r="Q144" s="7">
        <f>IF(AND(J144&lt;&gt;"",J144&lt;=0),1,0)</f>
        <v>0</v>
      </c>
      <c r="R144" s="20">
        <f>IF(OR(G144="",H144=""),"",G144/H144)</f>
        <v>1.6340548649807116</v>
      </c>
      <c r="S144" s="20">
        <f>IF(OR(I144="",J144="",Q144=1),"",I144/J144)</f>
        <v>0.8818577995343562</v>
      </c>
      <c r="T144" s="23">
        <f>IF(OR(K144="",L144=""),"",K144/L144*365)</f>
        <v>40.81972335197424</v>
      </c>
      <c r="U144" s="20">
        <f>IF(OR(M144="",L144=""),"",M144/L144)</f>
        <v>0.10094687341128622</v>
      </c>
      <c r="V144" s="8">
        <f>IF(ISTEXT(C144),"글자 섞임",ROUND(C144*VLOOKUP(N144,'환율_기준일'!$A$4:$E$7,5,FALSE)/'환율_기준일'!$E$4,2))</f>
        <v>0</v>
      </c>
      <c r="W144" s="7">
        <f>IF(ISNUMBER(V144),IF(V144&gt;F144*10,1,0),"")</f>
        <v>0</v>
      </c>
      <c r="X144" s="7" t="str">
        <f>IF(Q144=1,COUNTIF($Q$2:Q144,1),"")</f>
        <v/>
      </c>
    </row>
    <row r="145">
      <c r="A145" s="16" t="inlineStr">
        <is>
          <t>B144</t>
        </is>
      </c>
      <c r="B145" s="16" t="inlineStr">
        <is>
          <t>USD</t>
        </is>
      </c>
      <c r="C145" s="15" t="n">
        <v>62560</v>
      </c>
      <c r="D145" s="15" t="n">
        <v>62560</v>
      </c>
      <c r="E145" s="15" t="n">
        <v>0</v>
      </c>
      <c r="F145" s="15" t="n">
        <v>30000</v>
      </c>
      <c r="G145" s="15" t="n">
        <v>32611000</v>
      </c>
      <c r="H145" s="15" t="n">
        <v>18097000</v>
      </c>
      <c r="I145" s="15" t="n">
        <v>33821000</v>
      </c>
      <c r="J145" s="15" t="n">
        <v>51762000</v>
      </c>
      <c r="K145" s="15" t="n">
        <v>16870000</v>
      </c>
      <c r="L145" s="15" t="n">
        <v>161485000</v>
      </c>
      <c r="M145" s="16" t="n"/>
      <c r="N145" s="7" t="str">
        <f>IFERROR(VLOOKUP(TRIM(B145),'확인표_A'!$A$6:$B$14,2,FALSE),"확인 필요")</f>
        <v>USD</v>
      </c>
      <c r="O145" s="7">
        <f>SUMPRODUCT(--ISTEXT(C145:E145))</f>
        <v>0</v>
      </c>
      <c r="P145" s="7">
        <f>IF(OR(G145="",H145="",I145="",J145="",L145=""),1,0)</f>
        <v>0</v>
      </c>
      <c r="Q145" s="7">
        <f>IF(AND(J145&lt;&gt;"",J145&lt;=0),1,0)</f>
        <v>0</v>
      </c>
      <c r="R145" s="20">
        <f>IF(OR(G145="",H145=""),"",G145/H145)</f>
        <v>1.8020113831021716</v>
      </c>
      <c r="S145" s="20">
        <f>IF(OR(I145="",J145="",Q145=1),"",I145/J145)</f>
        <v>0.653394381979058</v>
      </c>
      <c r="T145" s="23">
        <f>IF(OR(K145="",L145=""),"",K145/L145*365)</f>
        <v>38.13078614112766</v>
      </c>
      <c r="U145" s="20" t="str">
        <f>IF(OR(M145="",L145=""),"",M145/L145)</f>
        <v/>
      </c>
      <c r="V145" s="8">
        <f>IF(ISTEXT(C145),"글자 섞임",ROUND(C145*VLOOKUP(N145,'환율_기준일'!$A$4:$E$7,5,FALSE)/'환율_기준일'!$E$4,2))</f>
        <v>62560</v>
      </c>
      <c r="W145" s="7">
        <f>IF(ISNUMBER(V145),IF(V145&gt;F145*10,1,0),"")</f>
        <v>0</v>
      </c>
      <c r="X145" s="7" t="str">
        <f>IF(Q145=1,COUNTIF($Q$2:Q145,1),"")</f>
        <v/>
      </c>
    </row>
    <row r="146">
      <c r="A146" s="16" t="inlineStr">
        <is>
          <t>B145</t>
        </is>
      </c>
      <c r="B146" s="16" t="inlineStr">
        <is>
          <t>USD</t>
        </is>
      </c>
      <c r="C146" s="15" t="n">
        <v>0</v>
      </c>
      <c r="D146" s="15" t="n">
        <v>0</v>
      </c>
      <c r="E146" s="15" t="n">
        <v>0</v>
      </c>
      <c r="F146" s="15" t="n">
        <v>10000</v>
      </c>
      <c r="G146" s="15" t="n">
        <v>29935000</v>
      </c>
      <c r="H146" s="15" t="n">
        <v>18581000</v>
      </c>
      <c r="I146" s="15" t="n">
        <v>25171000</v>
      </c>
      <c r="J146" s="15" t="n">
        <v>17570000</v>
      </c>
      <c r="K146" s="15" t="n">
        <v>13756000</v>
      </c>
      <c r="L146" s="15" t="n">
        <v>98473000</v>
      </c>
      <c r="M146" s="16" t="n"/>
      <c r="N146" s="7" t="str">
        <f>IFERROR(VLOOKUP(TRIM(B146),'확인표_A'!$A$6:$B$14,2,FALSE),"확인 필요")</f>
        <v>USD</v>
      </c>
      <c r="O146" s="7">
        <f>SUMPRODUCT(--ISTEXT(C146:E146))</f>
        <v>0</v>
      </c>
      <c r="P146" s="7">
        <f>IF(OR(G146="",H146="",I146="",J146="",L146=""),1,0)</f>
        <v>0</v>
      </c>
      <c r="Q146" s="7">
        <f>IF(AND(J146&lt;&gt;"",J146&lt;=0),1,0)</f>
        <v>0</v>
      </c>
      <c r="R146" s="20">
        <f>IF(OR(G146="",H146=""),"",G146/H146)</f>
        <v>1.6110543027824122</v>
      </c>
      <c r="S146" s="20">
        <f>IF(OR(I146="",J146="",Q146=1),"",I146/J146)</f>
        <v>1.432612407512806</v>
      </c>
      <c r="T146" s="23">
        <f>IF(OR(K146="",L146=""),"",K146/L146*365)</f>
        <v>50.98798655469012</v>
      </c>
      <c r="U146" s="20" t="str">
        <f>IF(OR(M146="",L146=""),"",M146/L146)</f>
        <v/>
      </c>
      <c r="V146" s="8">
        <f>IF(ISTEXT(C146),"글자 섞임",ROUND(C146*VLOOKUP(N146,'환율_기준일'!$A$4:$E$7,5,FALSE)/'환율_기준일'!$E$4,2))</f>
        <v>0</v>
      </c>
      <c r="W146" s="7">
        <f>IF(ISNUMBER(V146),IF(V146&gt;F146*10,1,0),"")</f>
        <v>0</v>
      </c>
      <c r="X146" s="7" t="str">
        <f>IF(Q146=1,COUNTIF($Q$2:Q146,1),"")</f>
        <v/>
      </c>
    </row>
    <row r="147">
      <c r="A147" s="16" t="inlineStr">
        <is>
          <t>B146</t>
        </is>
      </c>
      <c r="B147" s="16" t="inlineStr">
        <is>
          <t>USD</t>
        </is>
      </c>
      <c r="C147" s="15" t="n">
        <v>0</v>
      </c>
      <c r="D147" s="15" t="n">
        <v>0</v>
      </c>
      <c r="E147" s="15" t="n">
        <v>0</v>
      </c>
      <c r="F147" s="15" t="n">
        <v>10000</v>
      </c>
      <c r="G147" s="15" t="n">
        <v>9636000</v>
      </c>
      <c r="H147" s="16" t="n"/>
      <c r="I147" s="15" t="n">
        <v>18887000</v>
      </c>
      <c r="J147" s="15" t="n">
        <v>7964000</v>
      </c>
      <c r="K147" s="16" t="n"/>
      <c r="L147" s="15" t="n">
        <v>19471000</v>
      </c>
      <c r="M147" s="15" t="n">
        <v>337000</v>
      </c>
      <c r="N147" s="7" t="str">
        <f>IFERROR(VLOOKUP(TRIM(B147),'확인표_A'!$A$6:$B$14,2,FALSE),"확인 필요")</f>
        <v>USD</v>
      </c>
      <c r="O147" s="7">
        <f>SUMPRODUCT(--ISTEXT(C147:E147))</f>
        <v>0</v>
      </c>
      <c r="P147" s="7">
        <f>IF(OR(G147="",H147="",I147="",J147="",L147=""),1,0)</f>
        <v>1</v>
      </c>
      <c r="Q147" s="7">
        <f>IF(AND(J147&lt;&gt;"",J147&lt;=0),1,0)</f>
        <v>0</v>
      </c>
      <c r="R147" s="20" t="str">
        <f>IF(OR(G147="",H147=""),"",G147/H147)</f>
        <v/>
      </c>
      <c r="S147" s="20">
        <f>IF(OR(I147="",J147="",Q147=1),"",I147/J147)</f>
        <v>2.3715469613259668</v>
      </c>
      <c r="T147" s="23" t="str">
        <f>IF(OR(K147="",L147=""),"",K147/L147*365)</f>
        <v/>
      </c>
      <c r="U147" s="20">
        <f>IF(OR(M147="",L147=""),"",M147/L147)</f>
        <v>0.01730779107390478</v>
      </c>
      <c r="V147" s="8">
        <f>IF(ISTEXT(C147),"글자 섞임",ROUND(C147*VLOOKUP(N147,'환율_기준일'!$A$4:$E$7,5,FALSE)/'환율_기준일'!$E$4,2))</f>
        <v>0</v>
      </c>
      <c r="W147" s="7">
        <f>IF(ISNUMBER(V147),IF(V147&gt;F147*10,1,0),"")</f>
        <v>0</v>
      </c>
      <c r="X147" s="7" t="str">
        <f>IF(Q147=1,COUNTIF($Q$2:Q147,1),"")</f>
        <v/>
      </c>
    </row>
    <row r="148">
      <c r="A148" s="16" t="inlineStr">
        <is>
          <t>B147</t>
        </is>
      </c>
      <c r="B148" s="16" t="inlineStr">
        <is>
          <t>USD</t>
        </is>
      </c>
      <c r="C148" s="15" t="n">
        <v>33520</v>
      </c>
      <c r="D148" s="15" t="n">
        <v>0</v>
      </c>
      <c r="E148" s="15" t="n">
        <v>0</v>
      </c>
      <c r="F148" s="15" t="n">
        <v>10000</v>
      </c>
      <c r="G148" s="15" t="n">
        <v>18275000</v>
      </c>
      <c r="H148" s="16" t="n"/>
      <c r="I148" s="15" t="n">
        <v>24955000</v>
      </c>
      <c r="J148" s="15" t="n">
        <v>16535000</v>
      </c>
      <c r="K148" s="15" t="n">
        <v>6495000</v>
      </c>
      <c r="L148" s="15" t="n">
        <v>25202000</v>
      </c>
      <c r="M148" s="15" t="n">
        <v>1139000</v>
      </c>
      <c r="N148" s="7" t="str">
        <f>IFERROR(VLOOKUP(TRIM(B148),'확인표_A'!$A$6:$B$14,2,FALSE),"확인 필요")</f>
        <v>USD</v>
      </c>
      <c r="O148" s="7">
        <f>SUMPRODUCT(--ISTEXT(C148:E148))</f>
        <v>0</v>
      </c>
      <c r="P148" s="7">
        <f>IF(OR(G148="",H148="",I148="",J148="",L148=""),1,0)</f>
        <v>1</v>
      </c>
      <c r="Q148" s="7">
        <f>IF(AND(J148&lt;&gt;"",J148&lt;=0),1,0)</f>
        <v>0</v>
      </c>
      <c r="R148" s="20" t="str">
        <f>IF(OR(G148="",H148=""),"",G148/H148)</f>
        <v/>
      </c>
      <c r="S148" s="20">
        <f>IF(OR(I148="",J148="",Q148=1),"",I148/J148)</f>
        <v>1.50922286059873</v>
      </c>
      <c r="T148" s="23">
        <f>IF(OR(K148="",L148=""),"",K148/L148*365)</f>
        <v>94.06693913181495</v>
      </c>
      <c r="U148" s="20">
        <f>IF(OR(M148="",L148=""),"",M148/L148)</f>
        <v>0.045194825807475594</v>
      </c>
      <c r="V148" s="8">
        <f>IF(ISTEXT(C148),"글자 섞임",ROUND(C148*VLOOKUP(N148,'환율_기준일'!$A$4:$E$7,5,FALSE)/'환율_기준일'!$E$4,2))</f>
        <v>33520</v>
      </c>
      <c r="W148" s="7">
        <f>IF(ISNUMBER(V148),IF(V148&gt;F148*10,1,0),"")</f>
        <v>0</v>
      </c>
      <c r="X148" s="7" t="str">
        <f>IF(Q148=1,COUNTIF($Q$2:Q148,1),"")</f>
        <v/>
      </c>
    </row>
    <row r="149">
      <c r="A149" s="16" t="inlineStr">
        <is>
          <t>B148</t>
        </is>
      </c>
      <c r="B149" s="16" t="inlineStr">
        <is>
          <t>USD</t>
        </is>
      </c>
      <c r="C149" s="15" t="n">
        <v>116170</v>
      </c>
      <c r="D149" s="15" t="n">
        <v>116170</v>
      </c>
      <c r="E149" s="15" t="n">
        <v>0</v>
      </c>
      <c r="F149" s="15" t="n">
        <v>120000</v>
      </c>
      <c r="G149" s="15" t="n">
        <v>71551000</v>
      </c>
      <c r="H149" s="15" t="n">
        <v>41751000</v>
      </c>
      <c r="I149" s="15" t="n">
        <v>90952000</v>
      </c>
      <c r="J149" s="15" t="n">
        <v>123000000</v>
      </c>
      <c r="K149" s="15" t="n">
        <v>35280000</v>
      </c>
      <c r="L149" s="15" t="n">
        <v>237446000</v>
      </c>
      <c r="M149" s="15" t="n">
        <v>22269000</v>
      </c>
      <c r="N149" s="7" t="str">
        <f>IFERROR(VLOOKUP(TRIM(B149),'확인표_A'!$A$6:$B$14,2,FALSE),"확인 필요")</f>
        <v>USD</v>
      </c>
      <c r="O149" s="7">
        <f>SUMPRODUCT(--ISTEXT(C149:E149))</f>
        <v>0</v>
      </c>
      <c r="P149" s="7">
        <f>IF(OR(G149="",H149="",I149="",J149="",L149=""),1,0)</f>
        <v>0</v>
      </c>
      <c r="Q149" s="7">
        <f>IF(AND(J149&lt;&gt;"",J149&lt;=0),1,0)</f>
        <v>0</v>
      </c>
      <c r="R149" s="20">
        <f>IF(OR(G149="",H149=""),"",G149/H149)</f>
        <v>1.713755359153074</v>
      </c>
      <c r="S149" s="20">
        <f>IF(OR(I149="",J149="",Q149=1),"",I149/J149)</f>
        <v>0.7394471544715447</v>
      </c>
      <c r="T149" s="23">
        <f>IF(OR(K149="",L149=""),"",K149/L149*365)</f>
        <v>54.232120145211965</v>
      </c>
      <c r="U149" s="20">
        <f>IF(OR(M149="",L149=""),"",M149/L149)</f>
        <v>0.0937855343951888</v>
      </c>
      <c r="V149" s="8">
        <f>IF(ISTEXT(C149),"글자 섞임",ROUND(C149*VLOOKUP(N149,'환율_기준일'!$A$4:$E$7,5,FALSE)/'환율_기준일'!$E$4,2))</f>
        <v>116170</v>
      </c>
      <c r="W149" s="7">
        <f>IF(ISNUMBER(V149),IF(V149&gt;F149*10,1,0),"")</f>
        <v>0</v>
      </c>
      <c r="X149" s="7" t="str">
        <f>IF(Q149=1,COUNTIF($Q$2:Q149,1),"")</f>
        <v/>
      </c>
    </row>
    <row r="150">
      <c r="A150" s="16" t="inlineStr">
        <is>
          <t>B149</t>
        </is>
      </c>
      <c r="B150" s="16" t="inlineStr">
        <is>
          <t>USD</t>
        </is>
      </c>
      <c r="C150" s="15" t="n">
        <v>0</v>
      </c>
      <c r="D150" s="15" t="n">
        <v>0</v>
      </c>
      <c r="E150" s="15" t="n">
        <v>0</v>
      </c>
      <c r="F150" s="15" t="n">
        <v>40000</v>
      </c>
      <c r="G150" s="15" t="n">
        <v>15928000</v>
      </c>
      <c r="H150" s="15" t="n">
        <v>8368000</v>
      </c>
      <c r="I150" s="15" t="n">
        <v>17084000</v>
      </c>
      <c r="J150" s="15" t="n">
        <v>12917000</v>
      </c>
      <c r="K150" s="15" t="n">
        <v>6170000</v>
      </c>
      <c r="L150" s="15" t="n">
        <v>44808000</v>
      </c>
      <c r="M150" s="15" t="n">
        <v>4170000</v>
      </c>
      <c r="N150" s="7" t="str">
        <f>IFERROR(VLOOKUP(TRIM(B150),'확인표_A'!$A$6:$B$14,2,FALSE),"확인 필요")</f>
        <v>USD</v>
      </c>
      <c r="O150" s="7">
        <f>SUMPRODUCT(--ISTEXT(C150:E150))</f>
        <v>0</v>
      </c>
      <c r="P150" s="7">
        <f>IF(OR(G150="",H150="",I150="",J150="",L150=""),1,0)</f>
        <v>0</v>
      </c>
      <c r="Q150" s="7">
        <f>IF(AND(J150&lt;&gt;"",J150&lt;=0),1,0)</f>
        <v>0</v>
      </c>
      <c r="R150" s="20">
        <f>IF(OR(G150="",H150=""),"",G150/H150)</f>
        <v>1.9034416826003824</v>
      </c>
      <c r="S150" s="20">
        <f>IF(OR(I150="",J150="",Q150=1),"",I150/J150)</f>
        <v>1.3225981264999613</v>
      </c>
      <c r="T150" s="23">
        <f>IF(OR(K150="",L150=""),"",K150/L150*365)</f>
        <v>50.25999821460453</v>
      </c>
      <c r="U150" s="20">
        <f>IF(OR(M150="",L150=""),"",M150/L150)</f>
        <v>0.09306373861810391</v>
      </c>
      <c r="V150" s="8">
        <f>IF(ISTEXT(C150),"글자 섞임",ROUND(C150*VLOOKUP(N150,'환율_기준일'!$A$4:$E$7,5,FALSE)/'환율_기준일'!$E$4,2))</f>
        <v>0</v>
      </c>
      <c r="W150" s="7">
        <f>IF(ISNUMBER(V150),IF(V150&gt;F150*10,1,0),"")</f>
        <v>0</v>
      </c>
      <c r="X150" s="7" t="str">
        <f>IF(Q150=1,COUNTIF($Q$2:Q150,1),"")</f>
        <v/>
      </c>
    </row>
    <row r="151">
      <c r="A151" s="16" t="inlineStr">
        <is>
          <t>B150</t>
        </is>
      </c>
      <c r="B151" s="16" t="inlineStr">
        <is>
          <t>US$</t>
        </is>
      </c>
      <c r="C151" s="15" t="n">
        <v>0</v>
      </c>
      <c r="D151" s="15" t="n">
        <v>0</v>
      </c>
      <c r="E151" s="15" t="n">
        <v>0</v>
      </c>
      <c r="F151" s="15" t="n">
        <v>10000</v>
      </c>
      <c r="G151" s="15" t="n">
        <v>4365000</v>
      </c>
      <c r="H151" s="15" t="n">
        <v>4188000</v>
      </c>
      <c r="I151" s="15" t="n">
        <v>6135000</v>
      </c>
      <c r="J151" s="15" t="n">
        <v>4047000</v>
      </c>
      <c r="K151" s="15" t="n">
        <v>2340000</v>
      </c>
      <c r="L151" s="15" t="n">
        <v>8930000</v>
      </c>
      <c r="M151" s="15" t="n">
        <v>305000</v>
      </c>
      <c r="N151" s="7" t="str">
        <f>IFERROR(VLOOKUP(TRIM(B151),'확인표_A'!$A$6:$B$14,2,FALSE),"확인 필요")</f>
        <v>USD</v>
      </c>
      <c r="O151" s="7">
        <f>SUMPRODUCT(--ISTEXT(C151:E151))</f>
        <v>0</v>
      </c>
      <c r="P151" s="7">
        <f>IF(OR(G151="",H151="",I151="",J151="",L151=""),1,0)</f>
        <v>0</v>
      </c>
      <c r="Q151" s="7">
        <f>IF(AND(J151&lt;&gt;"",J151&lt;=0),1,0)</f>
        <v>0</v>
      </c>
      <c r="R151" s="20">
        <f>IF(OR(G151="",H151=""),"",G151/H151)</f>
        <v>1.0422636103151863</v>
      </c>
      <c r="S151" s="20">
        <f>IF(OR(I151="",J151="",Q151=1),"",I151/J151)</f>
        <v>1.5159377316530764</v>
      </c>
      <c r="T151" s="23">
        <f>IF(OR(K151="",L151=""),"",K151/L151*365)</f>
        <v>95.64389697648376</v>
      </c>
      <c r="U151" s="20">
        <f>IF(OR(M151="",L151=""),"",M151/L151)</f>
        <v>0.0341545352743561</v>
      </c>
      <c r="V151" s="8">
        <f>IF(ISTEXT(C151),"글자 섞임",ROUND(C151*VLOOKUP(N151,'환율_기준일'!$A$4:$E$7,5,FALSE)/'환율_기준일'!$E$4,2))</f>
        <v>0</v>
      </c>
      <c r="W151" s="7">
        <f>IF(ISNUMBER(V151),IF(V151&gt;F151*10,1,0),"")</f>
        <v>0</v>
      </c>
      <c r="X151" s="7" t="str">
        <f>IF(Q151=1,COUNTIF($Q$2:Q151,1),"")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기준일 2026-08-31 환율(원) — d2_start.xlsx의 fx_at_ref 시트에서 그날 4행만</t>
        </is>
      </c>
    </row>
    <row r="2">
      <c r="A2" s="4" t="inlineStr">
        <is>
          <t>엔화(JPY100)는 100엔당 값입니다 — 1엔당 원은 노란 칸(÷100)</t>
        </is>
      </c>
    </row>
    <row r="3">
      <c r="A3" s="2" t="inlineStr">
        <is>
          <t>통화(표준)</t>
        </is>
      </c>
      <c r="B3" s="2" t="inlineStr">
        <is>
          <t>fx_at_ref ccy</t>
        </is>
      </c>
      <c r="C3" s="2" t="inlineStr">
        <is>
          <t>단위</t>
        </is>
      </c>
      <c r="D3" s="2" t="inlineStr">
        <is>
          <t>krw_close</t>
        </is>
      </c>
      <c r="E3" s="2" t="inlineStr">
        <is>
          <t>1단위당 원(수식)</t>
        </is>
      </c>
      <c r="F3" s="2" t="inlineStr">
        <is>
          <t>관측일</t>
        </is>
      </c>
    </row>
    <row r="4">
      <c r="A4" s="16" t="inlineStr">
        <is>
          <t>USD</t>
        </is>
      </c>
      <c r="B4" s="16" t="inlineStr">
        <is>
          <t>USD</t>
        </is>
      </c>
      <c r="C4" s="16" t="inlineStr">
        <is>
          <t>KRW per 1 USD</t>
        </is>
      </c>
      <c r="D4" s="11" t="n">
        <v>1368.25</v>
      </c>
      <c r="E4" s="26">
        <f>IF(B4="JPY100",D4/100,D4)</f>
        <v>1368.25</v>
      </c>
      <c r="F4" s="27" t="n">
        <v>46265</v>
      </c>
    </row>
    <row r="5">
      <c r="A5" s="16" t="inlineStr">
        <is>
          <t>EUR</t>
        </is>
      </c>
      <c r="B5" s="16" t="inlineStr">
        <is>
          <t>EUR</t>
        </is>
      </c>
      <c r="C5" s="16" t="inlineStr">
        <is>
          <t>KRW per 1 EUR</t>
        </is>
      </c>
      <c r="D5" s="11" t="n">
        <v>1589.5</v>
      </c>
      <c r="E5" s="26">
        <f>IF(B5="JPY100",D5/100,D5)</f>
        <v>1589.5</v>
      </c>
      <c r="F5" s="27" t="n">
        <v>46265</v>
      </c>
    </row>
    <row r="6">
      <c r="A6" s="16" t="inlineStr">
        <is>
          <t>CNY</t>
        </is>
      </c>
      <c r="B6" s="16" t="inlineStr">
        <is>
          <t>CNY</t>
        </is>
      </c>
      <c r="C6" s="16" t="inlineStr">
        <is>
          <t>KRW per 1 CNY</t>
        </is>
      </c>
      <c r="D6" s="11" t="n">
        <v>203.62</v>
      </c>
      <c r="E6" s="26">
        <f>IF(B6="JPY100",D6/100,D6)</f>
        <v>203.62</v>
      </c>
      <c r="F6" s="27" t="n">
        <v>46265</v>
      </c>
    </row>
    <row r="7">
      <c r="A7" s="16" t="inlineStr">
        <is>
          <t>JPY</t>
        </is>
      </c>
      <c r="B7" s="16" t="inlineStr">
        <is>
          <t>JPY100</t>
        </is>
      </c>
      <c r="C7" s="16" t="inlineStr">
        <is>
          <t>KRW per 100 JPY</t>
        </is>
      </c>
      <c r="D7" s="11" t="n">
        <v>856.55</v>
      </c>
      <c r="E7" s="26">
        <f>IF(B7="JPY100",D7/100,D7)</f>
        <v>8.5655</v>
      </c>
      <c r="F7" s="27" t="n">
        <v>46265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6" customWidth="1" min="4" max="4"/>
    <col width="11" customWidth="1" min="5" max="5"/>
    <col width="17" customWidth="1" min="6" max="6"/>
    <col width="10" customWidth="1" min="7" max="7"/>
  </cols>
  <sheetData>
    <row r="1">
      <c r="A1" s="2" t="inlineStr">
        <is>
          <t>news_id</t>
        </is>
      </c>
      <c r="B1" s="2" t="inlineStr">
        <is>
          <t>buyer_id</t>
        </is>
      </c>
      <c r="C1" s="2" t="inlineStr">
        <is>
          <t>date</t>
        </is>
      </c>
      <c r="D1" s="2" t="inlineStr">
        <is>
          <t>lang</t>
        </is>
      </c>
      <c r="E1" s="12" t="inlineStr">
        <is>
          <t>창_안(수식)</t>
        </is>
      </c>
      <c r="F1" s="12" t="inlineStr">
        <is>
          <t>창_안_첫등장(수식)</t>
        </is>
      </c>
      <c r="G1" s="12" t="inlineStr">
        <is>
          <t>9월(수식)</t>
        </is>
      </c>
    </row>
    <row r="2">
      <c r="A2" s="16" t="inlineStr">
        <is>
          <t>N01395</t>
        </is>
      </c>
      <c r="B2" s="16" t="inlineStr">
        <is>
          <t>B040</t>
        </is>
      </c>
      <c r="C2" s="27" t="n">
        <v>46295</v>
      </c>
      <c r="D2" s="16" t="inlineStr">
        <is>
          <t>en</t>
        </is>
      </c>
      <c r="E2" s="7">
        <f>IF(AND(C2&gt;DATE(2026,8,1),C2&lt;=DATE(2026,8,31)),1,0)</f>
        <v>0</v>
      </c>
      <c r="F2" s="7">
        <f>IF(E2=1,IF(COUNTIFS($B$2:B2,B2,$E$2:E2,1)=1,1,0),0)</f>
        <v>0</v>
      </c>
      <c r="G2" s="7">
        <f>IF(AND(C2&gt;DATE(2026,8,31),C2&lt;=DATE(2026,9,30)),1,0)</f>
        <v>1</v>
      </c>
    </row>
    <row r="3">
      <c r="A3" s="16" t="inlineStr">
        <is>
          <t>N01396</t>
        </is>
      </c>
      <c r="B3" s="16" t="inlineStr">
        <is>
          <t>B141</t>
        </is>
      </c>
      <c r="C3" s="27" t="n">
        <v>46295</v>
      </c>
      <c r="D3" s="16" t="inlineStr">
        <is>
          <t>ko</t>
        </is>
      </c>
      <c r="E3" s="7">
        <f>IF(AND(C3&gt;DATE(2026,8,1),C3&lt;=DATE(2026,8,31)),1,0)</f>
        <v>0</v>
      </c>
      <c r="F3" s="7">
        <f>IF(E3=1,IF(COUNTIFS($B$2:B3,B3,$E$2:E3,1)=1,1,0),0)</f>
        <v>0</v>
      </c>
      <c r="G3" s="7">
        <f>IF(AND(C3&gt;DATE(2026,8,31),C3&lt;=DATE(2026,9,30)),1,0)</f>
        <v>1</v>
      </c>
    </row>
    <row r="4">
      <c r="A4" s="16" t="inlineStr">
        <is>
          <t>N01393</t>
        </is>
      </c>
      <c r="B4" s="16" t="inlineStr">
        <is>
          <t>B053</t>
        </is>
      </c>
      <c r="C4" s="27" t="n">
        <v>46291</v>
      </c>
      <c r="D4" s="16" t="inlineStr">
        <is>
          <t>en</t>
        </is>
      </c>
      <c r="E4" s="7">
        <f>IF(AND(C4&gt;DATE(2026,8,1),C4&lt;=DATE(2026,8,31)),1,0)</f>
        <v>0</v>
      </c>
      <c r="F4" s="7">
        <f>IF(E4=1,IF(COUNTIFS($B$2:B4,B4,$E$2:E4,1)=1,1,0),0)</f>
        <v>0</v>
      </c>
      <c r="G4" s="7">
        <f>IF(AND(C4&gt;DATE(2026,8,31),C4&lt;=DATE(2026,9,30)),1,0)</f>
        <v>1</v>
      </c>
    </row>
    <row r="5">
      <c r="A5" s="16" t="inlineStr">
        <is>
          <t>N01394</t>
        </is>
      </c>
      <c r="B5" s="16" t="inlineStr">
        <is>
          <t>B134</t>
        </is>
      </c>
      <c r="C5" s="27" t="n">
        <v>46291</v>
      </c>
      <c r="D5" s="16" t="inlineStr">
        <is>
          <t>en</t>
        </is>
      </c>
      <c r="E5" s="7">
        <f>IF(AND(C5&gt;DATE(2026,8,1),C5&lt;=DATE(2026,8,31)),1,0)</f>
        <v>0</v>
      </c>
      <c r="F5" s="7">
        <f>IF(E5=1,IF(COUNTIFS($B$2:B5,B5,$E$2:E5,1)=1,1,0),0)</f>
        <v>0</v>
      </c>
      <c r="G5" s="7">
        <f>IF(AND(C5&gt;DATE(2026,8,31),C5&lt;=DATE(2026,9,30)),1,0)</f>
        <v>1</v>
      </c>
    </row>
    <row r="6">
      <c r="A6" s="16" t="inlineStr">
        <is>
          <t>N01389</t>
        </is>
      </c>
      <c r="B6" s="16" t="inlineStr">
        <is>
          <t>B046</t>
        </is>
      </c>
      <c r="C6" s="27" t="n">
        <v>46290</v>
      </c>
      <c r="D6" s="16" t="inlineStr">
        <is>
          <t>ko</t>
        </is>
      </c>
      <c r="E6" s="7">
        <f>IF(AND(C6&gt;DATE(2026,8,1),C6&lt;=DATE(2026,8,31)),1,0)</f>
        <v>0</v>
      </c>
      <c r="F6" s="7">
        <f>IF(E6=1,IF(COUNTIFS($B$2:B6,B6,$E$2:E6,1)=1,1,0),0)</f>
        <v>0</v>
      </c>
      <c r="G6" s="7">
        <f>IF(AND(C6&gt;DATE(2026,8,31),C6&lt;=DATE(2026,9,30)),1,0)</f>
        <v>1</v>
      </c>
    </row>
    <row r="7">
      <c r="A7" s="16" t="inlineStr">
        <is>
          <t>N01390</t>
        </is>
      </c>
      <c r="B7" s="16" t="inlineStr">
        <is>
          <t>B113</t>
        </is>
      </c>
      <c r="C7" s="27" t="n">
        <v>46290</v>
      </c>
      <c r="D7" s="16" t="inlineStr">
        <is>
          <t>en</t>
        </is>
      </c>
      <c r="E7" s="7">
        <f>IF(AND(C7&gt;DATE(2026,8,1),C7&lt;=DATE(2026,8,31)),1,0)</f>
        <v>0</v>
      </c>
      <c r="F7" s="7">
        <f>IF(E7=1,IF(COUNTIFS($B$2:B7,B7,$E$2:E7,1)=1,1,0),0)</f>
        <v>0</v>
      </c>
      <c r="G7" s="7">
        <f>IF(AND(C7&gt;DATE(2026,8,31),C7&lt;=DATE(2026,9,30)),1,0)</f>
        <v>1</v>
      </c>
    </row>
    <row r="8">
      <c r="A8" s="16" t="inlineStr">
        <is>
          <t>N01391</t>
        </is>
      </c>
      <c r="B8" s="16" t="inlineStr">
        <is>
          <t>B123</t>
        </is>
      </c>
      <c r="C8" s="27" t="n">
        <v>46290</v>
      </c>
      <c r="D8" s="16" t="inlineStr">
        <is>
          <t>en</t>
        </is>
      </c>
      <c r="E8" s="7">
        <f>IF(AND(C8&gt;DATE(2026,8,1),C8&lt;=DATE(2026,8,31)),1,0)</f>
        <v>0</v>
      </c>
      <c r="F8" s="7">
        <f>IF(E8=1,IF(COUNTIFS($B$2:B8,B8,$E$2:E8,1)=1,1,0),0)</f>
        <v>0</v>
      </c>
      <c r="G8" s="7">
        <f>IF(AND(C8&gt;DATE(2026,8,31),C8&lt;=DATE(2026,9,30)),1,0)</f>
        <v>1</v>
      </c>
    </row>
    <row r="9">
      <c r="A9" s="16" t="inlineStr">
        <is>
          <t>N01392</t>
        </is>
      </c>
      <c r="B9" s="16" t="inlineStr">
        <is>
          <t>B131</t>
        </is>
      </c>
      <c r="C9" s="27" t="n">
        <v>46290</v>
      </c>
      <c r="D9" s="16" t="inlineStr">
        <is>
          <t>en</t>
        </is>
      </c>
      <c r="E9" s="7">
        <f>IF(AND(C9&gt;DATE(2026,8,1),C9&lt;=DATE(2026,8,31)),1,0)</f>
        <v>0</v>
      </c>
      <c r="F9" s="7">
        <f>IF(E9=1,IF(COUNTIFS($B$2:B9,B9,$E$2:E9,1)=1,1,0),0)</f>
        <v>0</v>
      </c>
      <c r="G9" s="7">
        <f>IF(AND(C9&gt;DATE(2026,8,31),C9&lt;=DATE(2026,9,30)),1,0)</f>
        <v>1</v>
      </c>
    </row>
    <row r="10">
      <c r="A10" s="16" t="inlineStr">
        <is>
          <t>N01387</t>
        </is>
      </c>
      <c r="B10" s="16" t="inlineStr">
        <is>
          <t>B063</t>
        </is>
      </c>
      <c r="C10" s="27" t="n">
        <v>46289</v>
      </c>
      <c r="D10" s="16" t="inlineStr">
        <is>
          <t>en</t>
        </is>
      </c>
      <c r="E10" s="7">
        <f>IF(AND(C10&gt;DATE(2026,8,1),C10&lt;=DATE(2026,8,31)),1,0)</f>
        <v>0</v>
      </c>
      <c r="F10" s="7">
        <f>IF(E10=1,IF(COUNTIFS($B$2:B10,B10,$E$2:E10,1)=1,1,0),0)</f>
        <v>0</v>
      </c>
      <c r="G10" s="7">
        <f>IF(AND(C10&gt;DATE(2026,8,31),C10&lt;=DATE(2026,9,30)),1,0)</f>
        <v>1</v>
      </c>
    </row>
    <row r="11">
      <c r="A11" s="16" t="inlineStr">
        <is>
          <t>N01388</t>
        </is>
      </c>
      <c r="B11" s="16" t="inlineStr">
        <is>
          <t>B065</t>
        </is>
      </c>
      <c r="C11" s="27" t="n">
        <v>46289</v>
      </c>
      <c r="D11" s="16" t="inlineStr">
        <is>
          <t>ko</t>
        </is>
      </c>
      <c r="E11" s="7">
        <f>IF(AND(C11&gt;DATE(2026,8,1),C11&lt;=DATE(2026,8,31)),1,0)</f>
        <v>0</v>
      </c>
      <c r="F11" s="7">
        <f>IF(E11=1,IF(COUNTIFS($B$2:B11,B11,$E$2:E11,1)=1,1,0),0)</f>
        <v>0</v>
      </c>
      <c r="G11" s="7">
        <f>IF(AND(C11&gt;DATE(2026,8,31),C11&lt;=DATE(2026,9,30)),1,0)</f>
        <v>1</v>
      </c>
    </row>
    <row r="12">
      <c r="A12" s="16" t="inlineStr">
        <is>
          <t>N01386</t>
        </is>
      </c>
      <c r="B12" s="16" t="inlineStr">
        <is>
          <t>B111</t>
        </is>
      </c>
      <c r="C12" s="27" t="n">
        <v>46288</v>
      </c>
      <c r="D12" s="16" t="inlineStr">
        <is>
          <t>ko</t>
        </is>
      </c>
      <c r="E12" s="7">
        <f>IF(AND(C12&gt;DATE(2026,8,1),C12&lt;=DATE(2026,8,31)),1,0)</f>
        <v>0</v>
      </c>
      <c r="F12" s="7">
        <f>IF(E12=1,IF(COUNTIFS($B$2:B12,B12,$E$2:E12,1)=1,1,0),0)</f>
        <v>0</v>
      </c>
      <c r="G12" s="7">
        <f>IF(AND(C12&gt;DATE(2026,8,31),C12&lt;=DATE(2026,9,30)),1,0)</f>
        <v>1</v>
      </c>
    </row>
    <row r="13">
      <c r="A13" s="16" t="inlineStr">
        <is>
          <t>N01385</t>
        </is>
      </c>
      <c r="B13" s="16" t="inlineStr">
        <is>
          <t>B058</t>
        </is>
      </c>
      <c r="C13" s="27" t="n">
        <v>46286</v>
      </c>
      <c r="D13" s="16" t="inlineStr">
        <is>
          <t>en</t>
        </is>
      </c>
      <c r="E13" s="7">
        <f>IF(AND(C13&gt;DATE(2026,8,1),C13&lt;=DATE(2026,8,31)),1,0)</f>
        <v>0</v>
      </c>
      <c r="F13" s="7">
        <f>IF(E13=1,IF(COUNTIFS($B$2:B13,B13,$E$2:E13,1)=1,1,0),0)</f>
        <v>0</v>
      </c>
      <c r="G13" s="7">
        <f>IF(AND(C13&gt;DATE(2026,8,31),C13&lt;=DATE(2026,9,30)),1,0)</f>
        <v>1</v>
      </c>
    </row>
    <row r="14">
      <c r="A14" s="16" t="inlineStr">
        <is>
          <t>N01382</t>
        </is>
      </c>
      <c r="B14" s="16" t="inlineStr">
        <is>
          <t>B005</t>
        </is>
      </c>
      <c r="C14" s="27" t="n">
        <v>46285</v>
      </c>
      <c r="D14" s="16" t="inlineStr">
        <is>
          <t>ko</t>
        </is>
      </c>
      <c r="E14" s="7">
        <f>IF(AND(C14&gt;DATE(2026,8,1),C14&lt;=DATE(2026,8,31)),1,0)</f>
        <v>0</v>
      </c>
      <c r="F14" s="7">
        <f>IF(E14=1,IF(COUNTIFS($B$2:B14,B14,$E$2:E14,1)=1,1,0),0)</f>
        <v>0</v>
      </c>
      <c r="G14" s="7">
        <f>IF(AND(C14&gt;DATE(2026,8,31),C14&lt;=DATE(2026,9,30)),1,0)</f>
        <v>1</v>
      </c>
    </row>
    <row r="15">
      <c r="A15" s="16" t="inlineStr">
        <is>
          <t>N01383</t>
        </is>
      </c>
      <c r="B15" s="16" t="inlineStr">
        <is>
          <t>B034</t>
        </is>
      </c>
      <c r="C15" s="27" t="n">
        <v>46285</v>
      </c>
      <c r="D15" s="16" t="inlineStr">
        <is>
          <t>en</t>
        </is>
      </c>
      <c r="E15" s="7">
        <f>IF(AND(C15&gt;DATE(2026,8,1),C15&lt;=DATE(2026,8,31)),1,0)</f>
        <v>0</v>
      </c>
      <c r="F15" s="7">
        <f>IF(E15=1,IF(COUNTIFS($B$2:B15,B15,$E$2:E15,1)=1,1,0),0)</f>
        <v>0</v>
      </c>
      <c r="G15" s="7">
        <f>IF(AND(C15&gt;DATE(2026,8,31),C15&lt;=DATE(2026,9,30)),1,0)</f>
        <v>1</v>
      </c>
    </row>
    <row r="16">
      <c r="A16" s="16" t="inlineStr">
        <is>
          <t>N01384</t>
        </is>
      </c>
      <c r="B16" s="16" t="inlineStr">
        <is>
          <t>B084</t>
        </is>
      </c>
      <c r="C16" s="27" t="n">
        <v>46285</v>
      </c>
      <c r="D16" s="16" t="inlineStr">
        <is>
          <t>ko</t>
        </is>
      </c>
      <c r="E16" s="7">
        <f>IF(AND(C16&gt;DATE(2026,8,1),C16&lt;=DATE(2026,8,31)),1,0)</f>
        <v>0</v>
      </c>
      <c r="F16" s="7">
        <f>IF(E16=1,IF(COUNTIFS($B$2:B16,B16,$E$2:E16,1)=1,1,0),0)</f>
        <v>0</v>
      </c>
      <c r="G16" s="7">
        <f>IF(AND(C16&gt;DATE(2026,8,31),C16&lt;=DATE(2026,9,30)),1,0)</f>
        <v>1</v>
      </c>
    </row>
    <row r="17">
      <c r="A17" s="16" t="inlineStr">
        <is>
          <t>N01378</t>
        </is>
      </c>
      <c r="B17" s="16" t="inlineStr">
        <is>
          <t>B021</t>
        </is>
      </c>
      <c r="C17" s="27" t="n">
        <v>46284</v>
      </c>
      <c r="D17" s="16" t="inlineStr">
        <is>
          <t>en</t>
        </is>
      </c>
      <c r="E17" s="7">
        <f>IF(AND(C17&gt;DATE(2026,8,1),C17&lt;=DATE(2026,8,31)),1,0)</f>
        <v>0</v>
      </c>
      <c r="F17" s="7">
        <f>IF(E17=1,IF(COUNTIFS($B$2:B17,B17,$E$2:E17,1)=1,1,0),0)</f>
        <v>0</v>
      </c>
      <c r="G17" s="7">
        <f>IF(AND(C17&gt;DATE(2026,8,31),C17&lt;=DATE(2026,9,30)),1,0)</f>
        <v>1</v>
      </c>
    </row>
    <row r="18">
      <c r="A18" s="16" t="inlineStr">
        <is>
          <t>N01379</t>
        </is>
      </c>
      <c r="B18" s="16" t="inlineStr">
        <is>
          <t>B068</t>
        </is>
      </c>
      <c r="C18" s="27" t="n">
        <v>46284</v>
      </c>
      <c r="D18" s="16" t="inlineStr">
        <is>
          <t>en</t>
        </is>
      </c>
      <c r="E18" s="7">
        <f>IF(AND(C18&gt;DATE(2026,8,1),C18&lt;=DATE(2026,8,31)),1,0)</f>
        <v>0</v>
      </c>
      <c r="F18" s="7">
        <f>IF(E18=1,IF(COUNTIFS($B$2:B18,B18,$E$2:E18,1)=1,1,0),0)</f>
        <v>0</v>
      </c>
      <c r="G18" s="7">
        <f>IF(AND(C18&gt;DATE(2026,8,31),C18&lt;=DATE(2026,9,30)),1,0)</f>
        <v>1</v>
      </c>
    </row>
    <row r="19">
      <c r="A19" s="16" t="inlineStr">
        <is>
          <t>N01380</t>
        </is>
      </c>
      <c r="B19" s="16" t="inlineStr">
        <is>
          <t>B093</t>
        </is>
      </c>
      <c r="C19" s="27" t="n">
        <v>46284</v>
      </c>
      <c r="D19" s="16" t="inlineStr">
        <is>
          <t>en</t>
        </is>
      </c>
      <c r="E19" s="7">
        <f>IF(AND(C19&gt;DATE(2026,8,1),C19&lt;=DATE(2026,8,31)),1,0)</f>
        <v>0</v>
      </c>
      <c r="F19" s="7">
        <f>IF(E19=1,IF(COUNTIFS($B$2:B19,B19,$E$2:E19,1)=1,1,0),0)</f>
        <v>0</v>
      </c>
      <c r="G19" s="7">
        <f>IF(AND(C19&gt;DATE(2026,8,31),C19&lt;=DATE(2026,9,30)),1,0)</f>
        <v>1</v>
      </c>
    </row>
    <row r="20">
      <c r="A20" s="16" t="inlineStr">
        <is>
          <t>N01381</t>
        </is>
      </c>
      <c r="B20" s="16" t="inlineStr">
        <is>
          <t>B141</t>
        </is>
      </c>
      <c r="C20" s="27" t="n">
        <v>46284</v>
      </c>
      <c r="D20" s="16" t="inlineStr">
        <is>
          <t>en</t>
        </is>
      </c>
      <c r="E20" s="7">
        <f>IF(AND(C20&gt;DATE(2026,8,1),C20&lt;=DATE(2026,8,31)),1,0)</f>
        <v>0</v>
      </c>
      <c r="F20" s="7">
        <f>IF(E20=1,IF(COUNTIFS($B$2:B20,B20,$E$2:E20,1)=1,1,0),0)</f>
        <v>0</v>
      </c>
      <c r="G20" s="7">
        <f>IF(AND(C20&gt;DATE(2026,8,31),C20&lt;=DATE(2026,9,30)),1,0)</f>
        <v>1</v>
      </c>
    </row>
    <row r="21">
      <c r="A21" s="16" t="inlineStr">
        <is>
          <t>N01376</t>
        </is>
      </c>
      <c r="B21" s="16" t="inlineStr">
        <is>
          <t>B059</t>
        </is>
      </c>
      <c r="C21" s="27" t="n">
        <v>46283</v>
      </c>
      <c r="D21" s="16" t="inlineStr">
        <is>
          <t>ko</t>
        </is>
      </c>
      <c r="E21" s="7">
        <f>IF(AND(C21&gt;DATE(2026,8,1),C21&lt;=DATE(2026,8,31)),1,0)</f>
        <v>0</v>
      </c>
      <c r="F21" s="7">
        <f>IF(E21=1,IF(COUNTIFS($B$2:B21,B21,$E$2:E21,1)=1,1,0),0)</f>
        <v>0</v>
      </c>
      <c r="G21" s="7">
        <f>IF(AND(C21&gt;DATE(2026,8,31),C21&lt;=DATE(2026,9,30)),1,0)</f>
        <v>1</v>
      </c>
    </row>
    <row r="22">
      <c r="A22" s="16" t="inlineStr">
        <is>
          <t>N01377</t>
        </is>
      </c>
      <c r="B22" s="16" t="inlineStr">
        <is>
          <t>B130</t>
        </is>
      </c>
      <c r="C22" s="27" t="n">
        <v>46283</v>
      </c>
      <c r="D22" s="16" t="inlineStr">
        <is>
          <t>ko</t>
        </is>
      </c>
      <c r="E22" s="7">
        <f>IF(AND(C22&gt;DATE(2026,8,1),C22&lt;=DATE(2026,8,31)),1,0)</f>
        <v>0</v>
      </c>
      <c r="F22" s="7">
        <f>IF(E22=1,IF(COUNTIFS($B$2:B22,B22,$E$2:E22,1)=1,1,0),0)</f>
        <v>0</v>
      </c>
      <c r="G22" s="7">
        <f>IF(AND(C22&gt;DATE(2026,8,31),C22&lt;=DATE(2026,9,30)),1,0)</f>
        <v>1</v>
      </c>
    </row>
    <row r="23">
      <c r="A23" s="16" t="inlineStr">
        <is>
          <t>N01374</t>
        </is>
      </c>
      <c r="B23" s="16" t="inlineStr">
        <is>
          <t>B085</t>
        </is>
      </c>
      <c r="C23" s="27" t="n">
        <v>46282</v>
      </c>
      <c r="D23" s="16" t="inlineStr">
        <is>
          <t>en</t>
        </is>
      </c>
      <c r="E23" s="7">
        <f>IF(AND(C23&gt;DATE(2026,8,1),C23&lt;=DATE(2026,8,31)),1,0)</f>
        <v>0</v>
      </c>
      <c r="F23" s="7">
        <f>IF(E23=1,IF(COUNTIFS($B$2:B23,B23,$E$2:E23,1)=1,1,0),0)</f>
        <v>0</v>
      </c>
      <c r="G23" s="7">
        <f>IF(AND(C23&gt;DATE(2026,8,31),C23&lt;=DATE(2026,9,30)),1,0)</f>
        <v>1</v>
      </c>
    </row>
    <row r="24">
      <c r="A24" s="16" t="inlineStr">
        <is>
          <t>N01375</t>
        </is>
      </c>
      <c r="B24" s="16" t="inlineStr">
        <is>
          <t>B108</t>
        </is>
      </c>
      <c r="C24" s="27" t="n">
        <v>46282</v>
      </c>
      <c r="D24" s="16" t="inlineStr">
        <is>
          <t>en</t>
        </is>
      </c>
      <c r="E24" s="7">
        <f>IF(AND(C24&gt;DATE(2026,8,1),C24&lt;=DATE(2026,8,31)),1,0)</f>
        <v>0</v>
      </c>
      <c r="F24" s="7">
        <f>IF(E24=1,IF(COUNTIFS($B$2:B24,B24,$E$2:E24,1)=1,1,0),0)</f>
        <v>0</v>
      </c>
      <c r="G24" s="7">
        <f>IF(AND(C24&gt;DATE(2026,8,31),C24&lt;=DATE(2026,9,30)),1,0)</f>
        <v>1</v>
      </c>
    </row>
    <row r="25">
      <c r="A25" s="16" t="inlineStr">
        <is>
          <t>N01373</t>
        </is>
      </c>
      <c r="B25" s="16" t="inlineStr">
        <is>
          <t>B134</t>
        </is>
      </c>
      <c r="C25" s="27" t="n">
        <v>46281</v>
      </c>
      <c r="D25" s="16" t="inlineStr">
        <is>
          <t>en</t>
        </is>
      </c>
      <c r="E25" s="7">
        <f>IF(AND(C25&gt;DATE(2026,8,1),C25&lt;=DATE(2026,8,31)),1,0)</f>
        <v>0</v>
      </c>
      <c r="F25" s="7">
        <f>IF(E25=1,IF(COUNTIFS($B$2:B25,B25,$E$2:E25,1)=1,1,0),0)</f>
        <v>0</v>
      </c>
      <c r="G25" s="7">
        <f>IF(AND(C25&gt;DATE(2026,8,31),C25&lt;=DATE(2026,9,30)),1,0)</f>
        <v>1</v>
      </c>
    </row>
    <row r="26">
      <c r="A26" s="16" t="inlineStr">
        <is>
          <t>N01371</t>
        </is>
      </c>
      <c r="B26" s="16" t="inlineStr">
        <is>
          <t>B066</t>
        </is>
      </c>
      <c r="C26" s="27" t="n">
        <v>46278</v>
      </c>
      <c r="D26" s="16" t="inlineStr">
        <is>
          <t>en</t>
        </is>
      </c>
      <c r="E26" s="7">
        <f>IF(AND(C26&gt;DATE(2026,8,1),C26&lt;=DATE(2026,8,31)),1,0)</f>
        <v>0</v>
      </c>
      <c r="F26" s="7">
        <f>IF(E26=1,IF(COUNTIFS($B$2:B26,B26,$E$2:E26,1)=1,1,0),0)</f>
        <v>0</v>
      </c>
      <c r="G26" s="7">
        <f>IF(AND(C26&gt;DATE(2026,8,31),C26&lt;=DATE(2026,9,30)),1,0)</f>
        <v>1</v>
      </c>
    </row>
    <row r="27">
      <c r="A27" s="16" t="inlineStr">
        <is>
          <t>N01372</t>
        </is>
      </c>
      <c r="B27" s="16" t="inlineStr">
        <is>
          <t>B095</t>
        </is>
      </c>
      <c r="C27" s="27" t="n">
        <v>46278</v>
      </c>
      <c r="D27" s="16" t="inlineStr">
        <is>
          <t>en</t>
        </is>
      </c>
      <c r="E27" s="7">
        <f>IF(AND(C27&gt;DATE(2026,8,1),C27&lt;=DATE(2026,8,31)),1,0)</f>
        <v>0</v>
      </c>
      <c r="F27" s="7">
        <f>IF(E27=1,IF(COUNTIFS($B$2:B27,B27,$E$2:E27,1)=1,1,0),0)</f>
        <v>0</v>
      </c>
      <c r="G27" s="7">
        <f>IF(AND(C27&gt;DATE(2026,8,31),C27&lt;=DATE(2026,9,30)),1,0)</f>
        <v>1</v>
      </c>
    </row>
    <row r="28">
      <c r="A28" s="16" t="inlineStr">
        <is>
          <t>N01370</t>
        </is>
      </c>
      <c r="B28" s="16" t="inlineStr">
        <is>
          <t>B064</t>
        </is>
      </c>
      <c r="C28" s="27" t="n">
        <v>46277</v>
      </c>
      <c r="D28" s="16" t="inlineStr">
        <is>
          <t>en</t>
        </is>
      </c>
      <c r="E28" s="7">
        <f>IF(AND(C28&gt;DATE(2026,8,1),C28&lt;=DATE(2026,8,31)),1,0)</f>
        <v>0</v>
      </c>
      <c r="F28" s="7">
        <f>IF(E28=1,IF(COUNTIFS($B$2:B28,B28,$E$2:E28,1)=1,1,0),0)</f>
        <v>0</v>
      </c>
      <c r="G28" s="7">
        <f>IF(AND(C28&gt;DATE(2026,8,31),C28&lt;=DATE(2026,9,30)),1,0)</f>
        <v>1</v>
      </c>
    </row>
    <row r="29">
      <c r="A29" s="16" t="inlineStr">
        <is>
          <t>N01369</t>
        </is>
      </c>
      <c r="B29" s="16" t="inlineStr">
        <is>
          <t>B108</t>
        </is>
      </c>
      <c r="C29" s="27" t="n">
        <v>46276</v>
      </c>
      <c r="D29" s="16" t="inlineStr">
        <is>
          <t>en</t>
        </is>
      </c>
      <c r="E29" s="7">
        <f>IF(AND(C29&gt;DATE(2026,8,1),C29&lt;=DATE(2026,8,31)),1,0)</f>
        <v>0</v>
      </c>
      <c r="F29" s="7">
        <f>IF(E29=1,IF(COUNTIFS($B$2:B29,B29,$E$2:E29,1)=1,1,0),0)</f>
        <v>0</v>
      </c>
      <c r="G29" s="7">
        <f>IF(AND(C29&gt;DATE(2026,8,31),C29&lt;=DATE(2026,9,30)),1,0)</f>
        <v>1</v>
      </c>
    </row>
    <row r="30">
      <c r="A30" s="16" t="inlineStr">
        <is>
          <t>N01368</t>
        </is>
      </c>
      <c r="B30" s="16" t="inlineStr">
        <is>
          <t>B022</t>
        </is>
      </c>
      <c r="C30" s="27" t="n">
        <v>46275</v>
      </c>
      <c r="D30" s="16" t="inlineStr">
        <is>
          <t>en</t>
        </is>
      </c>
      <c r="E30" s="7">
        <f>IF(AND(C30&gt;DATE(2026,8,1),C30&lt;=DATE(2026,8,31)),1,0)</f>
        <v>0</v>
      </c>
      <c r="F30" s="7">
        <f>IF(E30=1,IF(COUNTIFS($B$2:B30,B30,$E$2:E30,1)=1,1,0),0)</f>
        <v>0</v>
      </c>
      <c r="G30" s="7">
        <f>IF(AND(C30&gt;DATE(2026,8,31),C30&lt;=DATE(2026,9,30)),1,0)</f>
        <v>1</v>
      </c>
    </row>
    <row r="31">
      <c r="A31" s="16" t="inlineStr">
        <is>
          <t>N01367</t>
        </is>
      </c>
      <c r="B31" s="16" t="inlineStr">
        <is>
          <t>B101</t>
        </is>
      </c>
      <c r="C31" s="27" t="n">
        <v>46274</v>
      </c>
      <c r="D31" s="16" t="inlineStr">
        <is>
          <t>en</t>
        </is>
      </c>
      <c r="E31" s="7">
        <f>IF(AND(C31&gt;DATE(2026,8,1),C31&lt;=DATE(2026,8,31)),1,0)</f>
        <v>0</v>
      </c>
      <c r="F31" s="7">
        <f>IF(E31=1,IF(COUNTIFS($B$2:B31,B31,$E$2:E31,1)=1,1,0),0)</f>
        <v>0</v>
      </c>
      <c r="G31" s="7">
        <f>IF(AND(C31&gt;DATE(2026,8,31),C31&lt;=DATE(2026,9,30)),1,0)</f>
        <v>1</v>
      </c>
    </row>
    <row r="32">
      <c r="A32" s="16" t="inlineStr">
        <is>
          <t>N01364</t>
        </is>
      </c>
      <c r="B32" s="16" t="inlineStr">
        <is>
          <t>B046</t>
        </is>
      </c>
      <c r="C32" s="27" t="n">
        <v>46272</v>
      </c>
      <c r="D32" s="16" t="inlineStr">
        <is>
          <t>en</t>
        </is>
      </c>
      <c r="E32" s="7">
        <f>IF(AND(C32&gt;DATE(2026,8,1),C32&lt;=DATE(2026,8,31)),1,0)</f>
        <v>0</v>
      </c>
      <c r="F32" s="7">
        <f>IF(E32=1,IF(COUNTIFS($B$2:B32,B32,$E$2:E32,1)=1,1,0),0)</f>
        <v>0</v>
      </c>
      <c r="G32" s="7">
        <f>IF(AND(C32&gt;DATE(2026,8,31),C32&lt;=DATE(2026,9,30)),1,0)</f>
        <v>1</v>
      </c>
    </row>
    <row r="33">
      <c r="A33" s="16" t="inlineStr">
        <is>
          <t>N01365</t>
        </is>
      </c>
      <c r="B33" s="16" t="inlineStr">
        <is>
          <t>B052</t>
        </is>
      </c>
      <c r="C33" s="27" t="n">
        <v>46272</v>
      </c>
      <c r="D33" s="16" t="inlineStr">
        <is>
          <t>en</t>
        </is>
      </c>
      <c r="E33" s="7">
        <f>IF(AND(C33&gt;DATE(2026,8,1),C33&lt;=DATE(2026,8,31)),1,0)</f>
        <v>0</v>
      </c>
      <c r="F33" s="7">
        <f>IF(E33=1,IF(COUNTIFS($B$2:B33,B33,$E$2:E33,1)=1,1,0),0)</f>
        <v>0</v>
      </c>
      <c r="G33" s="7">
        <f>IF(AND(C33&gt;DATE(2026,8,31),C33&lt;=DATE(2026,9,30)),1,0)</f>
        <v>1</v>
      </c>
    </row>
    <row r="34">
      <c r="A34" s="16" t="inlineStr">
        <is>
          <t>N01366</t>
        </is>
      </c>
      <c r="B34" s="16" t="inlineStr">
        <is>
          <t>B121</t>
        </is>
      </c>
      <c r="C34" s="27" t="n">
        <v>46272</v>
      </c>
      <c r="D34" s="16" t="inlineStr">
        <is>
          <t>en</t>
        </is>
      </c>
      <c r="E34" s="7">
        <f>IF(AND(C34&gt;DATE(2026,8,1),C34&lt;=DATE(2026,8,31)),1,0)</f>
        <v>0</v>
      </c>
      <c r="F34" s="7">
        <f>IF(E34=1,IF(COUNTIFS($B$2:B34,B34,$E$2:E34,1)=1,1,0),0)</f>
        <v>0</v>
      </c>
      <c r="G34" s="7">
        <f>IF(AND(C34&gt;DATE(2026,8,31),C34&lt;=DATE(2026,9,30)),1,0)</f>
        <v>1</v>
      </c>
    </row>
    <row r="35">
      <c r="A35" s="16" t="inlineStr">
        <is>
          <t>N01363</t>
        </is>
      </c>
      <c r="B35" s="16" t="inlineStr">
        <is>
          <t>B068</t>
        </is>
      </c>
      <c r="C35" s="27" t="n">
        <v>46271</v>
      </c>
      <c r="D35" s="16" t="inlineStr">
        <is>
          <t>en</t>
        </is>
      </c>
      <c r="E35" s="7">
        <f>IF(AND(C35&gt;DATE(2026,8,1),C35&lt;=DATE(2026,8,31)),1,0)</f>
        <v>0</v>
      </c>
      <c r="F35" s="7">
        <f>IF(E35=1,IF(COUNTIFS($B$2:B35,B35,$E$2:E35,1)=1,1,0),0)</f>
        <v>0</v>
      </c>
      <c r="G35" s="7">
        <f>IF(AND(C35&gt;DATE(2026,8,31),C35&lt;=DATE(2026,9,30)),1,0)</f>
        <v>1</v>
      </c>
    </row>
    <row r="36">
      <c r="A36" s="16" t="inlineStr">
        <is>
          <t>N01362</t>
        </is>
      </c>
      <c r="B36" s="16" t="inlineStr">
        <is>
          <t>B034</t>
        </is>
      </c>
      <c r="C36" s="27" t="n">
        <v>46270</v>
      </c>
      <c r="D36" s="16" t="inlineStr">
        <is>
          <t>ko</t>
        </is>
      </c>
      <c r="E36" s="7">
        <f>IF(AND(C36&gt;DATE(2026,8,1),C36&lt;=DATE(2026,8,31)),1,0)</f>
        <v>0</v>
      </c>
      <c r="F36" s="7">
        <f>IF(E36=1,IF(COUNTIFS($B$2:B36,B36,$E$2:E36,1)=1,1,0),0)</f>
        <v>0</v>
      </c>
      <c r="G36" s="7">
        <f>IF(AND(C36&gt;DATE(2026,8,31),C36&lt;=DATE(2026,9,30)),1,0)</f>
        <v>1</v>
      </c>
    </row>
    <row r="37">
      <c r="A37" s="16" t="inlineStr">
        <is>
          <t>N01361</t>
        </is>
      </c>
      <c r="B37" s="16" t="inlineStr">
        <is>
          <t>B002</t>
        </is>
      </c>
      <c r="C37" s="27" t="n">
        <v>46269</v>
      </c>
      <c r="D37" s="16" t="inlineStr">
        <is>
          <t>en</t>
        </is>
      </c>
      <c r="E37" s="7">
        <f>IF(AND(C37&gt;DATE(2026,8,1),C37&lt;=DATE(2026,8,31)),1,0)</f>
        <v>0</v>
      </c>
      <c r="F37" s="7">
        <f>IF(E37=1,IF(COUNTIFS($B$2:B37,B37,$E$2:E37,1)=1,1,0),0)</f>
        <v>0</v>
      </c>
      <c r="G37" s="7">
        <f>IF(AND(C37&gt;DATE(2026,8,31),C37&lt;=DATE(2026,9,30)),1,0)</f>
        <v>1</v>
      </c>
    </row>
    <row r="38">
      <c r="A38" s="16" t="inlineStr">
        <is>
          <t>N01358</t>
        </is>
      </c>
      <c r="B38" s="16" t="inlineStr">
        <is>
          <t>B013</t>
        </is>
      </c>
      <c r="C38" s="27" t="n">
        <v>46268</v>
      </c>
      <c r="D38" s="16" t="inlineStr">
        <is>
          <t>en</t>
        </is>
      </c>
      <c r="E38" s="7">
        <f>IF(AND(C38&gt;DATE(2026,8,1),C38&lt;=DATE(2026,8,31)),1,0)</f>
        <v>0</v>
      </c>
      <c r="F38" s="7">
        <f>IF(E38=1,IF(COUNTIFS($B$2:B38,B38,$E$2:E38,1)=1,1,0),0)</f>
        <v>0</v>
      </c>
      <c r="G38" s="7">
        <f>IF(AND(C38&gt;DATE(2026,8,31),C38&lt;=DATE(2026,9,30)),1,0)</f>
        <v>1</v>
      </c>
    </row>
    <row r="39">
      <c r="A39" s="16" t="inlineStr">
        <is>
          <t>N01359</t>
        </is>
      </c>
      <c r="B39" s="16" t="inlineStr">
        <is>
          <t>B085</t>
        </is>
      </c>
      <c r="C39" s="27" t="n">
        <v>46268</v>
      </c>
      <c r="D39" s="16" t="inlineStr">
        <is>
          <t>en</t>
        </is>
      </c>
      <c r="E39" s="7">
        <f>IF(AND(C39&gt;DATE(2026,8,1),C39&lt;=DATE(2026,8,31)),1,0)</f>
        <v>0</v>
      </c>
      <c r="F39" s="7">
        <f>IF(E39=1,IF(COUNTIFS($B$2:B39,B39,$E$2:E39,1)=1,1,0),0)</f>
        <v>0</v>
      </c>
      <c r="G39" s="7">
        <f>IF(AND(C39&gt;DATE(2026,8,31),C39&lt;=DATE(2026,9,30)),1,0)</f>
        <v>1</v>
      </c>
    </row>
    <row r="40">
      <c r="A40" s="16" t="inlineStr">
        <is>
          <t>N01360</t>
        </is>
      </c>
      <c r="B40" s="16" t="inlineStr">
        <is>
          <t>B086</t>
        </is>
      </c>
      <c r="C40" s="27" t="n">
        <v>46268</v>
      </c>
      <c r="D40" s="16" t="inlineStr">
        <is>
          <t>en</t>
        </is>
      </c>
      <c r="E40" s="7">
        <f>IF(AND(C40&gt;DATE(2026,8,1),C40&lt;=DATE(2026,8,31)),1,0)</f>
        <v>0</v>
      </c>
      <c r="F40" s="7">
        <f>IF(E40=1,IF(COUNTIFS($B$2:B40,B40,$E$2:E40,1)=1,1,0),0)</f>
        <v>0</v>
      </c>
      <c r="G40" s="7">
        <f>IF(AND(C40&gt;DATE(2026,8,31),C40&lt;=DATE(2026,9,30)),1,0)</f>
        <v>1</v>
      </c>
    </row>
    <row r="41">
      <c r="A41" s="16" t="inlineStr">
        <is>
          <t>N01357</t>
        </is>
      </c>
      <c r="B41" s="16" t="inlineStr">
        <is>
          <t>B018</t>
        </is>
      </c>
      <c r="C41" s="27" t="n">
        <v>46267</v>
      </c>
      <c r="D41" s="16" t="inlineStr">
        <is>
          <t>en</t>
        </is>
      </c>
      <c r="E41" s="7">
        <f>IF(AND(C41&gt;DATE(2026,8,1),C41&lt;=DATE(2026,8,31)),1,0)</f>
        <v>0</v>
      </c>
      <c r="F41" s="7">
        <f>IF(E41=1,IF(COUNTIFS($B$2:B41,B41,$E$2:E41,1)=1,1,0),0)</f>
        <v>0</v>
      </c>
      <c r="G41" s="7">
        <f>IF(AND(C41&gt;DATE(2026,8,31),C41&lt;=DATE(2026,9,30)),1,0)</f>
        <v>1</v>
      </c>
    </row>
    <row r="42">
      <c r="A42" s="16" t="inlineStr">
        <is>
          <t>N01355</t>
        </is>
      </c>
      <c r="B42" s="16" t="inlineStr">
        <is>
          <t>B031</t>
        </is>
      </c>
      <c r="C42" s="27" t="n">
        <v>46265</v>
      </c>
      <c r="D42" s="16" t="inlineStr">
        <is>
          <t>en</t>
        </is>
      </c>
      <c r="E42" s="7">
        <f>IF(AND(C42&gt;DATE(2026,8,1),C42&lt;=DATE(2026,8,31)),1,0)</f>
        <v>1</v>
      </c>
      <c r="F42" s="7">
        <f>IF(E42=1,IF(COUNTIFS($B$2:B42,B42,$E$2:E42,1)=1,1,0),0)</f>
        <v>1</v>
      </c>
      <c r="G42" s="7">
        <f>IF(AND(C42&gt;DATE(2026,8,31),C42&lt;=DATE(2026,9,30)),1,0)</f>
        <v>0</v>
      </c>
    </row>
    <row r="43">
      <c r="A43" s="16" t="inlineStr">
        <is>
          <t>N01356</t>
        </is>
      </c>
      <c r="B43" s="16" t="inlineStr">
        <is>
          <t>B065</t>
        </is>
      </c>
      <c r="C43" s="27" t="n">
        <v>46265</v>
      </c>
      <c r="D43" s="16" t="inlineStr">
        <is>
          <t>ko</t>
        </is>
      </c>
      <c r="E43" s="7">
        <f>IF(AND(C43&gt;DATE(2026,8,1),C43&lt;=DATE(2026,8,31)),1,0)</f>
        <v>1</v>
      </c>
      <c r="F43" s="7">
        <f>IF(E43=1,IF(COUNTIFS($B$2:B43,B43,$E$2:E43,1)=1,1,0),0)</f>
        <v>1</v>
      </c>
      <c r="G43" s="7">
        <f>IF(AND(C43&gt;DATE(2026,8,31),C43&lt;=DATE(2026,9,30)),1,0)</f>
        <v>0</v>
      </c>
    </row>
    <row r="44">
      <c r="A44" s="16" t="inlineStr">
        <is>
          <t>N01354</t>
        </is>
      </c>
      <c r="B44" s="16" t="inlineStr">
        <is>
          <t>B048</t>
        </is>
      </c>
      <c r="C44" s="27" t="n">
        <v>46264</v>
      </c>
      <c r="D44" s="16" t="inlineStr">
        <is>
          <t>en</t>
        </is>
      </c>
      <c r="E44" s="7">
        <f>IF(AND(C44&gt;DATE(2026,8,1),C44&lt;=DATE(2026,8,31)),1,0)</f>
        <v>1</v>
      </c>
      <c r="F44" s="7">
        <f>IF(E44=1,IF(COUNTIFS($B$2:B44,B44,$E$2:E44,1)=1,1,0),0)</f>
        <v>1</v>
      </c>
      <c r="G44" s="7">
        <f>IF(AND(C44&gt;DATE(2026,8,31),C44&lt;=DATE(2026,9,30)),1,0)</f>
        <v>0</v>
      </c>
    </row>
    <row r="45">
      <c r="A45" s="16" t="inlineStr">
        <is>
          <t>N01352</t>
        </is>
      </c>
      <c r="B45" s="16" t="inlineStr">
        <is>
          <t>B125</t>
        </is>
      </c>
      <c r="C45" s="27" t="n">
        <v>46261</v>
      </c>
      <c r="D45" s="16" t="inlineStr">
        <is>
          <t>ko</t>
        </is>
      </c>
      <c r="E45" s="7">
        <f>IF(AND(C45&gt;DATE(2026,8,1),C45&lt;=DATE(2026,8,31)),1,0)</f>
        <v>1</v>
      </c>
      <c r="F45" s="7">
        <f>IF(E45=1,IF(COUNTIFS($B$2:B45,B45,$E$2:E45,1)=1,1,0),0)</f>
        <v>1</v>
      </c>
      <c r="G45" s="7">
        <f>IF(AND(C45&gt;DATE(2026,8,31),C45&lt;=DATE(2026,9,30)),1,0)</f>
        <v>0</v>
      </c>
    </row>
    <row r="46">
      <c r="A46" s="16" t="inlineStr">
        <is>
          <t>N01353</t>
        </is>
      </c>
      <c r="B46" s="16" t="inlineStr">
        <is>
          <t>B141</t>
        </is>
      </c>
      <c r="C46" s="27" t="n">
        <v>46261</v>
      </c>
      <c r="D46" s="16" t="inlineStr">
        <is>
          <t>en</t>
        </is>
      </c>
      <c r="E46" s="7">
        <f>IF(AND(C46&gt;DATE(2026,8,1),C46&lt;=DATE(2026,8,31)),1,0)</f>
        <v>1</v>
      </c>
      <c r="F46" s="7">
        <f>IF(E46=1,IF(COUNTIFS($B$2:B46,B46,$E$2:E46,1)=1,1,0),0)</f>
        <v>1</v>
      </c>
      <c r="G46" s="7">
        <f>IF(AND(C46&gt;DATE(2026,8,31),C46&lt;=DATE(2026,9,30)),1,0)</f>
        <v>0</v>
      </c>
    </row>
    <row r="47">
      <c r="A47" s="16" t="inlineStr">
        <is>
          <t>N01350</t>
        </is>
      </c>
      <c r="B47" s="16" t="inlineStr">
        <is>
          <t>B080</t>
        </is>
      </c>
      <c r="C47" s="27" t="n">
        <v>46260</v>
      </c>
      <c r="D47" s="16" t="inlineStr">
        <is>
          <t>ko</t>
        </is>
      </c>
      <c r="E47" s="7">
        <f>IF(AND(C47&gt;DATE(2026,8,1),C47&lt;=DATE(2026,8,31)),1,0)</f>
        <v>1</v>
      </c>
      <c r="F47" s="7">
        <f>IF(E47=1,IF(COUNTIFS($B$2:B47,B47,$E$2:E47,1)=1,1,0),0)</f>
        <v>1</v>
      </c>
      <c r="G47" s="7">
        <f>IF(AND(C47&gt;DATE(2026,8,31),C47&lt;=DATE(2026,9,30)),1,0)</f>
        <v>0</v>
      </c>
    </row>
    <row r="48">
      <c r="A48" s="16" t="inlineStr">
        <is>
          <t>N01351</t>
        </is>
      </c>
      <c r="B48" s="16" t="inlineStr">
        <is>
          <t>B134</t>
        </is>
      </c>
      <c r="C48" s="27" t="n">
        <v>46260</v>
      </c>
      <c r="D48" s="16" t="inlineStr">
        <is>
          <t>es</t>
        </is>
      </c>
      <c r="E48" s="7">
        <f>IF(AND(C48&gt;DATE(2026,8,1),C48&lt;=DATE(2026,8,31)),1,0)</f>
        <v>1</v>
      </c>
      <c r="F48" s="7">
        <f>IF(E48=1,IF(COUNTIFS($B$2:B48,B48,$E$2:E48,1)=1,1,0),0)</f>
        <v>1</v>
      </c>
      <c r="G48" s="7">
        <f>IF(AND(C48&gt;DATE(2026,8,31),C48&lt;=DATE(2026,9,30)),1,0)</f>
        <v>0</v>
      </c>
    </row>
    <row r="49">
      <c r="A49" s="16" t="inlineStr">
        <is>
          <t>N01348</t>
        </is>
      </c>
      <c r="B49" s="16" t="inlineStr">
        <is>
          <t>B085</t>
        </is>
      </c>
      <c r="C49" s="27" t="n">
        <v>46259</v>
      </c>
      <c r="D49" s="16" t="inlineStr">
        <is>
          <t>en</t>
        </is>
      </c>
      <c r="E49" s="7">
        <f>IF(AND(C49&gt;DATE(2026,8,1),C49&lt;=DATE(2026,8,31)),1,0)</f>
        <v>1</v>
      </c>
      <c r="F49" s="7">
        <f>IF(E49=1,IF(COUNTIFS($B$2:B49,B49,$E$2:E49,1)=1,1,0),0)</f>
        <v>1</v>
      </c>
      <c r="G49" s="7">
        <f>IF(AND(C49&gt;DATE(2026,8,31),C49&lt;=DATE(2026,9,30)),1,0)</f>
        <v>0</v>
      </c>
    </row>
    <row r="50">
      <c r="A50" s="16" t="inlineStr">
        <is>
          <t>N01349</t>
        </is>
      </c>
      <c r="B50" s="16" t="inlineStr">
        <is>
          <t>B108</t>
        </is>
      </c>
      <c r="C50" s="27" t="n">
        <v>46259</v>
      </c>
      <c r="D50" s="16" t="inlineStr">
        <is>
          <t>ko</t>
        </is>
      </c>
      <c r="E50" s="7">
        <f>IF(AND(C50&gt;DATE(2026,8,1),C50&lt;=DATE(2026,8,31)),1,0)</f>
        <v>1</v>
      </c>
      <c r="F50" s="7">
        <f>IF(E50=1,IF(COUNTIFS($B$2:B50,B50,$E$2:E50,1)=1,1,0),0)</f>
        <v>1</v>
      </c>
      <c r="G50" s="7">
        <f>IF(AND(C50&gt;DATE(2026,8,31),C50&lt;=DATE(2026,9,30)),1,0)</f>
        <v>0</v>
      </c>
    </row>
    <row r="51">
      <c r="A51" s="16" t="inlineStr">
        <is>
          <t>N01347</t>
        </is>
      </c>
      <c r="B51" s="16" t="inlineStr">
        <is>
          <t>B077</t>
        </is>
      </c>
      <c r="C51" s="27" t="n">
        <v>46258</v>
      </c>
      <c r="D51" s="16" t="inlineStr">
        <is>
          <t>en</t>
        </is>
      </c>
      <c r="E51" s="7">
        <f>IF(AND(C51&gt;DATE(2026,8,1),C51&lt;=DATE(2026,8,31)),1,0)</f>
        <v>1</v>
      </c>
      <c r="F51" s="7">
        <f>IF(E51=1,IF(COUNTIFS($B$2:B51,B51,$E$2:E51,1)=1,1,0),0)</f>
        <v>1</v>
      </c>
      <c r="G51" s="7">
        <f>IF(AND(C51&gt;DATE(2026,8,31),C51&lt;=DATE(2026,9,30)),1,0)</f>
        <v>0</v>
      </c>
    </row>
    <row r="52">
      <c r="A52" s="16" t="inlineStr">
        <is>
          <t>N01346</t>
        </is>
      </c>
      <c r="B52" s="16" t="inlineStr">
        <is>
          <t>B141</t>
        </is>
      </c>
      <c r="C52" s="27" t="n">
        <v>46256</v>
      </c>
      <c r="D52" s="16" t="inlineStr">
        <is>
          <t>en</t>
        </is>
      </c>
      <c r="E52" s="7">
        <f>IF(AND(C52&gt;DATE(2026,8,1),C52&lt;=DATE(2026,8,31)),1,0)</f>
        <v>1</v>
      </c>
      <c r="F52" s="7">
        <f>IF(E52=1,IF(COUNTIFS($B$2:B52,B52,$E$2:E52,1)=1,1,0),0)</f>
        <v>0</v>
      </c>
      <c r="G52" s="7">
        <f>IF(AND(C52&gt;DATE(2026,8,31),C52&lt;=DATE(2026,9,30)),1,0)</f>
        <v>0</v>
      </c>
    </row>
    <row r="53">
      <c r="A53" s="16" t="inlineStr">
        <is>
          <t>N01345</t>
        </is>
      </c>
      <c r="B53" s="16" t="inlineStr">
        <is>
          <t>B028</t>
        </is>
      </c>
      <c r="C53" s="27" t="n">
        <v>46254</v>
      </c>
      <c r="D53" s="16" t="inlineStr">
        <is>
          <t>en</t>
        </is>
      </c>
      <c r="E53" s="7">
        <f>IF(AND(C53&gt;DATE(2026,8,1),C53&lt;=DATE(2026,8,31)),1,0)</f>
        <v>1</v>
      </c>
      <c r="F53" s="7">
        <f>IF(E53=1,IF(COUNTIFS($B$2:B53,B53,$E$2:E53,1)=1,1,0),0)</f>
        <v>1</v>
      </c>
      <c r="G53" s="7">
        <f>IF(AND(C53&gt;DATE(2026,8,31),C53&lt;=DATE(2026,9,30)),1,0)</f>
        <v>0</v>
      </c>
    </row>
    <row r="54">
      <c r="A54" s="16" t="inlineStr">
        <is>
          <t>N01344</t>
        </is>
      </c>
      <c r="B54" s="16" t="inlineStr">
        <is>
          <t>B068</t>
        </is>
      </c>
      <c r="C54" s="27" t="n">
        <v>46253</v>
      </c>
      <c r="D54" s="16" t="inlineStr">
        <is>
          <t>en</t>
        </is>
      </c>
      <c r="E54" s="7">
        <f>IF(AND(C54&gt;DATE(2026,8,1),C54&lt;=DATE(2026,8,31)),1,0)</f>
        <v>1</v>
      </c>
      <c r="F54" s="7">
        <f>IF(E54=1,IF(COUNTIFS($B$2:B54,B54,$E$2:E54,1)=1,1,0),0)</f>
        <v>1</v>
      </c>
      <c r="G54" s="7">
        <f>IF(AND(C54&gt;DATE(2026,8,31),C54&lt;=DATE(2026,9,30)),1,0)</f>
        <v>0</v>
      </c>
    </row>
    <row r="55">
      <c r="A55" s="16" t="inlineStr">
        <is>
          <t>N01342</t>
        </is>
      </c>
      <c r="B55" s="16" t="inlineStr">
        <is>
          <t>B033</t>
        </is>
      </c>
      <c r="C55" s="27" t="n">
        <v>46252</v>
      </c>
      <c r="D55" s="16" t="inlineStr">
        <is>
          <t>ko</t>
        </is>
      </c>
      <c r="E55" s="7">
        <f>IF(AND(C55&gt;DATE(2026,8,1),C55&lt;=DATE(2026,8,31)),1,0)</f>
        <v>1</v>
      </c>
      <c r="F55" s="7">
        <f>IF(E55=1,IF(COUNTIFS($B$2:B55,B55,$E$2:E55,1)=1,1,0),0)</f>
        <v>1</v>
      </c>
      <c r="G55" s="7">
        <f>IF(AND(C55&gt;DATE(2026,8,31),C55&lt;=DATE(2026,9,30)),1,0)</f>
        <v>0</v>
      </c>
    </row>
    <row r="56">
      <c r="A56" s="16" t="inlineStr">
        <is>
          <t>N01343</t>
        </is>
      </c>
      <c r="B56" s="16" t="inlineStr">
        <is>
          <t>B113</t>
        </is>
      </c>
      <c r="C56" s="27" t="n">
        <v>46252</v>
      </c>
      <c r="D56" s="16" t="inlineStr">
        <is>
          <t>ko</t>
        </is>
      </c>
      <c r="E56" s="7">
        <f>IF(AND(C56&gt;DATE(2026,8,1),C56&lt;=DATE(2026,8,31)),1,0)</f>
        <v>1</v>
      </c>
      <c r="F56" s="7">
        <f>IF(E56=1,IF(COUNTIFS($B$2:B56,B56,$E$2:E56,1)=1,1,0),0)</f>
        <v>1</v>
      </c>
      <c r="G56" s="7">
        <f>IF(AND(C56&gt;DATE(2026,8,31),C56&lt;=DATE(2026,9,30)),1,0)</f>
        <v>0</v>
      </c>
    </row>
    <row r="57">
      <c r="A57" s="16" t="inlineStr">
        <is>
          <t>N01340</t>
        </is>
      </c>
      <c r="B57" s="16" t="inlineStr">
        <is>
          <t>B080</t>
        </is>
      </c>
      <c r="C57" s="27" t="n">
        <v>46251</v>
      </c>
      <c r="D57" s="16" t="inlineStr">
        <is>
          <t>ko</t>
        </is>
      </c>
      <c r="E57" s="7">
        <f>IF(AND(C57&gt;DATE(2026,8,1),C57&lt;=DATE(2026,8,31)),1,0)</f>
        <v>1</v>
      </c>
      <c r="F57" s="7">
        <f>IF(E57=1,IF(COUNTIFS($B$2:B57,B57,$E$2:E57,1)=1,1,0),0)</f>
        <v>0</v>
      </c>
      <c r="G57" s="7">
        <f>IF(AND(C57&gt;DATE(2026,8,31),C57&lt;=DATE(2026,9,30)),1,0)</f>
        <v>0</v>
      </c>
    </row>
    <row r="58">
      <c r="A58" s="16" t="inlineStr">
        <is>
          <t>N01341</t>
        </is>
      </c>
      <c r="B58" s="16" t="inlineStr">
        <is>
          <t>B144</t>
        </is>
      </c>
      <c r="C58" s="27" t="n">
        <v>46251</v>
      </c>
      <c r="D58" s="16" t="inlineStr">
        <is>
          <t>en</t>
        </is>
      </c>
      <c r="E58" s="7">
        <f>IF(AND(C58&gt;DATE(2026,8,1),C58&lt;=DATE(2026,8,31)),1,0)</f>
        <v>1</v>
      </c>
      <c r="F58" s="7">
        <f>IF(E58=1,IF(COUNTIFS($B$2:B58,B58,$E$2:E58,1)=1,1,0),0)</f>
        <v>1</v>
      </c>
      <c r="G58" s="7">
        <f>IF(AND(C58&gt;DATE(2026,8,31),C58&lt;=DATE(2026,9,30)),1,0)</f>
        <v>0</v>
      </c>
    </row>
    <row r="59">
      <c r="A59" s="16" t="inlineStr">
        <is>
          <t>N01338</t>
        </is>
      </c>
      <c r="B59" s="16" t="inlineStr">
        <is>
          <t>B026</t>
        </is>
      </c>
      <c r="C59" s="27" t="n">
        <v>46249</v>
      </c>
      <c r="D59" s="16" t="inlineStr">
        <is>
          <t>en</t>
        </is>
      </c>
      <c r="E59" s="7">
        <f>IF(AND(C59&gt;DATE(2026,8,1),C59&lt;=DATE(2026,8,31)),1,0)</f>
        <v>1</v>
      </c>
      <c r="F59" s="7">
        <f>IF(E59=1,IF(COUNTIFS($B$2:B59,B59,$E$2:E59,1)=1,1,0),0)</f>
        <v>1</v>
      </c>
      <c r="G59" s="7">
        <f>IF(AND(C59&gt;DATE(2026,8,31),C59&lt;=DATE(2026,9,30)),1,0)</f>
        <v>0</v>
      </c>
    </row>
    <row r="60">
      <c r="A60" s="16" t="inlineStr">
        <is>
          <t>N01339</t>
        </is>
      </c>
      <c r="B60" s="16" t="inlineStr">
        <is>
          <t>B032</t>
        </is>
      </c>
      <c r="C60" s="27" t="n">
        <v>46249</v>
      </c>
      <c r="D60" s="16" t="inlineStr">
        <is>
          <t>en</t>
        </is>
      </c>
      <c r="E60" s="7">
        <f>IF(AND(C60&gt;DATE(2026,8,1),C60&lt;=DATE(2026,8,31)),1,0)</f>
        <v>1</v>
      </c>
      <c r="F60" s="7">
        <f>IF(E60=1,IF(COUNTIFS($B$2:B60,B60,$E$2:E60,1)=1,1,0),0)</f>
        <v>1</v>
      </c>
      <c r="G60" s="7">
        <f>IF(AND(C60&gt;DATE(2026,8,31),C60&lt;=DATE(2026,9,30)),1,0)</f>
        <v>0</v>
      </c>
    </row>
    <row r="61">
      <c r="A61" s="16" t="inlineStr">
        <is>
          <t>N01332</t>
        </is>
      </c>
      <c r="B61" s="16" t="inlineStr">
        <is>
          <t>B021</t>
        </is>
      </c>
      <c r="C61" s="27" t="n">
        <v>46248</v>
      </c>
      <c r="D61" s="16" t="inlineStr">
        <is>
          <t>en</t>
        </is>
      </c>
      <c r="E61" s="7">
        <f>IF(AND(C61&gt;DATE(2026,8,1),C61&lt;=DATE(2026,8,31)),1,0)</f>
        <v>1</v>
      </c>
      <c r="F61" s="7">
        <f>IF(E61=1,IF(COUNTIFS($B$2:B61,B61,$E$2:E61,1)=1,1,0),0)</f>
        <v>1</v>
      </c>
      <c r="G61" s="7">
        <f>IF(AND(C61&gt;DATE(2026,8,31),C61&lt;=DATE(2026,9,30)),1,0)</f>
        <v>0</v>
      </c>
    </row>
    <row r="62">
      <c r="A62" s="16" t="inlineStr">
        <is>
          <t>N01333</t>
        </is>
      </c>
      <c r="B62" s="16" t="inlineStr">
        <is>
          <t>B037</t>
        </is>
      </c>
      <c r="C62" s="27" t="n">
        <v>46248</v>
      </c>
      <c r="D62" s="16" t="inlineStr">
        <is>
          <t>en</t>
        </is>
      </c>
      <c r="E62" s="7">
        <f>IF(AND(C62&gt;DATE(2026,8,1),C62&lt;=DATE(2026,8,31)),1,0)</f>
        <v>1</v>
      </c>
      <c r="F62" s="7">
        <f>IF(E62=1,IF(COUNTIFS($B$2:B62,B62,$E$2:E62,1)=1,1,0),0)</f>
        <v>1</v>
      </c>
      <c r="G62" s="7">
        <f>IF(AND(C62&gt;DATE(2026,8,31),C62&lt;=DATE(2026,9,30)),1,0)</f>
        <v>0</v>
      </c>
    </row>
    <row r="63">
      <c r="A63" s="16" t="inlineStr">
        <is>
          <t>N01334</t>
        </is>
      </c>
      <c r="B63" s="16" t="inlineStr">
        <is>
          <t>B053</t>
        </is>
      </c>
      <c r="C63" s="27" t="n">
        <v>46248</v>
      </c>
      <c r="D63" s="16" t="inlineStr">
        <is>
          <t>en</t>
        </is>
      </c>
      <c r="E63" s="7">
        <f>IF(AND(C63&gt;DATE(2026,8,1),C63&lt;=DATE(2026,8,31)),1,0)</f>
        <v>1</v>
      </c>
      <c r="F63" s="7">
        <f>IF(E63=1,IF(COUNTIFS($B$2:B63,B63,$E$2:E63,1)=1,1,0),0)</f>
        <v>1</v>
      </c>
      <c r="G63" s="7">
        <f>IF(AND(C63&gt;DATE(2026,8,31),C63&lt;=DATE(2026,9,30)),1,0)</f>
        <v>0</v>
      </c>
    </row>
    <row r="64">
      <c r="A64" s="16" t="inlineStr">
        <is>
          <t>N01335</t>
        </is>
      </c>
      <c r="B64" s="16" t="inlineStr">
        <is>
          <t>B087</t>
        </is>
      </c>
      <c r="C64" s="27" t="n">
        <v>46248</v>
      </c>
      <c r="D64" s="16" t="inlineStr">
        <is>
          <t>en</t>
        </is>
      </c>
      <c r="E64" s="7">
        <f>IF(AND(C64&gt;DATE(2026,8,1),C64&lt;=DATE(2026,8,31)),1,0)</f>
        <v>1</v>
      </c>
      <c r="F64" s="7">
        <f>IF(E64=1,IF(COUNTIFS($B$2:B64,B64,$E$2:E64,1)=1,1,0),0)</f>
        <v>1</v>
      </c>
      <c r="G64" s="7">
        <f>IF(AND(C64&gt;DATE(2026,8,31),C64&lt;=DATE(2026,9,30)),1,0)</f>
        <v>0</v>
      </c>
    </row>
    <row r="65">
      <c r="A65" s="16" t="inlineStr">
        <is>
          <t>N01336</t>
        </is>
      </c>
      <c r="B65" s="16" t="inlineStr">
        <is>
          <t>B129</t>
        </is>
      </c>
      <c r="C65" s="27" t="n">
        <v>46248</v>
      </c>
      <c r="D65" s="16" t="inlineStr">
        <is>
          <t>en</t>
        </is>
      </c>
      <c r="E65" s="7">
        <f>IF(AND(C65&gt;DATE(2026,8,1),C65&lt;=DATE(2026,8,31)),1,0)</f>
        <v>1</v>
      </c>
      <c r="F65" s="7">
        <f>IF(E65=1,IF(COUNTIFS($B$2:B65,B65,$E$2:E65,1)=1,1,0),0)</f>
        <v>1</v>
      </c>
      <c r="G65" s="7">
        <f>IF(AND(C65&gt;DATE(2026,8,31),C65&lt;=DATE(2026,9,30)),1,0)</f>
        <v>0</v>
      </c>
    </row>
    <row r="66">
      <c r="A66" s="16" t="inlineStr">
        <is>
          <t>N01337</t>
        </is>
      </c>
      <c r="B66" s="16" t="inlineStr">
        <is>
          <t>B140</t>
        </is>
      </c>
      <c r="C66" s="27" t="n">
        <v>46248</v>
      </c>
      <c r="D66" s="16" t="inlineStr">
        <is>
          <t>en</t>
        </is>
      </c>
      <c r="E66" s="7">
        <f>IF(AND(C66&gt;DATE(2026,8,1),C66&lt;=DATE(2026,8,31)),1,0)</f>
        <v>1</v>
      </c>
      <c r="F66" s="7">
        <f>IF(E66=1,IF(COUNTIFS($B$2:B66,B66,$E$2:E66,1)=1,1,0),0)</f>
        <v>1</v>
      </c>
      <c r="G66" s="7">
        <f>IF(AND(C66&gt;DATE(2026,8,31),C66&lt;=DATE(2026,9,30)),1,0)</f>
        <v>0</v>
      </c>
    </row>
    <row r="67">
      <c r="A67" s="16" t="inlineStr">
        <is>
          <t>N01331</t>
        </is>
      </c>
      <c r="B67" s="16" t="inlineStr">
        <is>
          <t>B014</t>
        </is>
      </c>
      <c r="C67" s="27" t="n">
        <v>46246</v>
      </c>
      <c r="D67" s="16" t="inlineStr">
        <is>
          <t>en</t>
        </is>
      </c>
      <c r="E67" s="7">
        <f>IF(AND(C67&gt;DATE(2026,8,1),C67&lt;=DATE(2026,8,31)),1,0)</f>
        <v>1</v>
      </c>
      <c r="F67" s="7">
        <f>IF(E67=1,IF(COUNTIFS($B$2:B67,B67,$E$2:E67,1)=1,1,0),0)</f>
        <v>1</v>
      </c>
      <c r="G67" s="7">
        <f>IF(AND(C67&gt;DATE(2026,8,31),C67&lt;=DATE(2026,9,30)),1,0)</f>
        <v>0</v>
      </c>
    </row>
    <row r="68">
      <c r="A68" s="16" t="inlineStr">
        <is>
          <t>N01329</t>
        </is>
      </c>
      <c r="B68" s="16" t="inlineStr">
        <is>
          <t>B087</t>
        </is>
      </c>
      <c r="C68" s="27" t="n">
        <v>46245</v>
      </c>
      <c r="D68" s="16" t="inlineStr">
        <is>
          <t>ko</t>
        </is>
      </c>
      <c r="E68" s="7">
        <f>IF(AND(C68&gt;DATE(2026,8,1),C68&lt;=DATE(2026,8,31)),1,0)</f>
        <v>1</v>
      </c>
      <c r="F68" s="7">
        <f>IF(E68=1,IF(COUNTIFS($B$2:B68,B68,$E$2:E68,1)=1,1,0),0)</f>
        <v>0</v>
      </c>
      <c r="G68" s="7">
        <f>IF(AND(C68&gt;DATE(2026,8,31),C68&lt;=DATE(2026,9,30)),1,0)</f>
        <v>0</v>
      </c>
    </row>
    <row r="69">
      <c r="A69" s="16" t="inlineStr">
        <is>
          <t>N01330</t>
        </is>
      </c>
      <c r="B69" s="16" t="inlineStr">
        <is>
          <t>B102</t>
        </is>
      </c>
      <c r="C69" s="27" t="n">
        <v>46245</v>
      </c>
      <c r="D69" s="16" t="inlineStr">
        <is>
          <t>en</t>
        </is>
      </c>
      <c r="E69" s="7">
        <f>IF(AND(C69&gt;DATE(2026,8,1),C69&lt;=DATE(2026,8,31)),1,0)</f>
        <v>1</v>
      </c>
      <c r="F69" s="7">
        <f>IF(E69=1,IF(COUNTIFS($B$2:B69,B69,$E$2:E69,1)=1,1,0),0)</f>
        <v>1</v>
      </c>
      <c r="G69" s="7">
        <f>IF(AND(C69&gt;DATE(2026,8,31),C69&lt;=DATE(2026,9,30)),1,0)</f>
        <v>0</v>
      </c>
    </row>
    <row r="70">
      <c r="A70" s="16" t="inlineStr">
        <is>
          <t>N01326</t>
        </is>
      </c>
      <c r="B70" s="16" t="inlineStr">
        <is>
          <t>B051</t>
        </is>
      </c>
      <c r="C70" s="27" t="n">
        <v>46243</v>
      </c>
      <c r="D70" s="16" t="inlineStr">
        <is>
          <t>ko</t>
        </is>
      </c>
      <c r="E70" s="7">
        <f>IF(AND(C70&gt;DATE(2026,8,1),C70&lt;=DATE(2026,8,31)),1,0)</f>
        <v>1</v>
      </c>
      <c r="F70" s="7">
        <f>IF(E70=1,IF(COUNTIFS($B$2:B70,B70,$E$2:E70,1)=1,1,0),0)</f>
        <v>1</v>
      </c>
      <c r="G70" s="7">
        <f>IF(AND(C70&gt;DATE(2026,8,31),C70&lt;=DATE(2026,9,30)),1,0)</f>
        <v>0</v>
      </c>
    </row>
    <row r="71">
      <c r="A71" s="16" t="inlineStr">
        <is>
          <t>N01327</t>
        </is>
      </c>
      <c r="B71" s="16" t="inlineStr">
        <is>
          <t>B053</t>
        </is>
      </c>
      <c r="C71" s="27" t="n">
        <v>46243</v>
      </c>
      <c r="D71" s="16" t="inlineStr">
        <is>
          <t>ko</t>
        </is>
      </c>
      <c r="E71" s="7">
        <f>IF(AND(C71&gt;DATE(2026,8,1),C71&lt;=DATE(2026,8,31)),1,0)</f>
        <v>1</v>
      </c>
      <c r="F71" s="7">
        <f>IF(E71=1,IF(COUNTIFS($B$2:B71,B71,$E$2:E71,1)=1,1,0),0)</f>
        <v>0</v>
      </c>
      <c r="G71" s="7">
        <f>IF(AND(C71&gt;DATE(2026,8,31),C71&lt;=DATE(2026,9,30)),1,0)</f>
        <v>0</v>
      </c>
    </row>
    <row r="72">
      <c r="A72" s="16" t="inlineStr">
        <is>
          <t>N01328</t>
        </is>
      </c>
      <c r="B72" s="16" t="inlineStr">
        <is>
          <t>B148</t>
        </is>
      </c>
      <c r="C72" s="27" t="n">
        <v>46243</v>
      </c>
      <c r="D72" s="16" t="inlineStr">
        <is>
          <t>en</t>
        </is>
      </c>
      <c r="E72" s="7">
        <f>IF(AND(C72&gt;DATE(2026,8,1),C72&lt;=DATE(2026,8,31)),1,0)</f>
        <v>1</v>
      </c>
      <c r="F72" s="7">
        <f>IF(E72=1,IF(COUNTIFS($B$2:B72,B72,$E$2:E72,1)=1,1,0),0)</f>
        <v>1</v>
      </c>
      <c r="G72" s="7">
        <f>IF(AND(C72&gt;DATE(2026,8,31),C72&lt;=DATE(2026,9,30)),1,0)</f>
        <v>0</v>
      </c>
    </row>
    <row r="73">
      <c r="A73" s="16" t="inlineStr">
        <is>
          <t>N01324</t>
        </is>
      </c>
      <c r="B73" s="16" t="inlineStr">
        <is>
          <t>B031</t>
        </is>
      </c>
      <c r="C73" s="27" t="n">
        <v>46242</v>
      </c>
      <c r="D73" s="16" t="inlineStr">
        <is>
          <t>en</t>
        </is>
      </c>
      <c r="E73" s="7">
        <f>IF(AND(C73&gt;DATE(2026,8,1),C73&lt;=DATE(2026,8,31)),1,0)</f>
        <v>1</v>
      </c>
      <c r="F73" s="7">
        <f>IF(E73=1,IF(COUNTIFS($B$2:B73,B73,$E$2:E73,1)=1,1,0),0)</f>
        <v>0</v>
      </c>
      <c r="G73" s="7">
        <f>IF(AND(C73&gt;DATE(2026,8,31),C73&lt;=DATE(2026,9,30)),1,0)</f>
        <v>0</v>
      </c>
    </row>
    <row r="74">
      <c r="A74" s="16" t="inlineStr">
        <is>
          <t>N01325</t>
        </is>
      </c>
      <c r="B74" s="16" t="inlineStr">
        <is>
          <t>B085</t>
        </is>
      </c>
      <c r="C74" s="27" t="n">
        <v>46242</v>
      </c>
      <c r="D74" s="16" t="inlineStr">
        <is>
          <t>ko</t>
        </is>
      </c>
      <c r="E74" s="7">
        <f>IF(AND(C74&gt;DATE(2026,8,1),C74&lt;=DATE(2026,8,31)),1,0)</f>
        <v>1</v>
      </c>
      <c r="F74" s="7">
        <f>IF(E74=1,IF(COUNTIFS($B$2:B74,B74,$E$2:E74,1)=1,1,0),0)</f>
        <v>0</v>
      </c>
      <c r="G74" s="7">
        <f>IF(AND(C74&gt;DATE(2026,8,31),C74&lt;=DATE(2026,9,30)),1,0)</f>
        <v>0</v>
      </c>
    </row>
    <row r="75">
      <c r="A75" s="16" t="inlineStr">
        <is>
          <t>N01322</t>
        </is>
      </c>
      <c r="B75" s="16" t="inlineStr">
        <is>
          <t>B118</t>
        </is>
      </c>
      <c r="C75" s="27" t="n">
        <v>46240</v>
      </c>
      <c r="D75" s="16" t="inlineStr">
        <is>
          <t>ko</t>
        </is>
      </c>
      <c r="E75" s="7">
        <f>IF(AND(C75&gt;DATE(2026,8,1),C75&lt;=DATE(2026,8,31)),1,0)</f>
        <v>1</v>
      </c>
      <c r="F75" s="7">
        <f>IF(E75=1,IF(COUNTIFS($B$2:B75,B75,$E$2:E75,1)=1,1,0),0)</f>
        <v>1</v>
      </c>
      <c r="G75" s="7">
        <f>IF(AND(C75&gt;DATE(2026,8,31),C75&lt;=DATE(2026,9,30)),1,0)</f>
        <v>0</v>
      </c>
    </row>
    <row r="76">
      <c r="A76" s="16" t="inlineStr">
        <is>
          <t>N01323</t>
        </is>
      </c>
      <c r="B76" s="16" t="inlineStr">
        <is>
          <t>B125</t>
        </is>
      </c>
      <c r="C76" s="27" t="n">
        <v>46240</v>
      </c>
      <c r="D76" s="16" t="inlineStr">
        <is>
          <t>en</t>
        </is>
      </c>
      <c r="E76" s="7">
        <f>IF(AND(C76&gt;DATE(2026,8,1),C76&lt;=DATE(2026,8,31)),1,0)</f>
        <v>1</v>
      </c>
      <c r="F76" s="7">
        <f>IF(E76=1,IF(COUNTIFS($B$2:B76,B76,$E$2:E76,1)=1,1,0),0)</f>
        <v>0</v>
      </c>
      <c r="G76" s="7">
        <f>IF(AND(C76&gt;DATE(2026,8,31),C76&lt;=DATE(2026,9,30)),1,0)</f>
        <v>0</v>
      </c>
    </row>
    <row r="77">
      <c r="A77" s="16" t="inlineStr">
        <is>
          <t>N01319</t>
        </is>
      </c>
      <c r="B77" s="16" t="inlineStr">
        <is>
          <t>B034</t>
        </is>
      </c>
      <c r="C77" s="27" t="n">
        <v>46239</v>
      </c>
      <c r="D77" s="16" t="inlineStr">
        <is>
          <t>en</t>
        </is>
      </c>
      <c r="E77" s="7">
        <f>IF(AND(C77&gt;DATE(2026,8,1),C77&lt;=DATE(2026,8,31)),1,0)</f>
        <v>1</v>
      </c>
      <c r="F77" s="7">
        <f>IF(E77=1,IF(COUNTIFS($B$2:B77,B77,$E$2:E77,1)=1,1,0),0)</f>
        <v>1</v>
      </c>
      <c r="G77" s="7">
        <f>IF(AND(C77&gt;DATE(2026,8,31),C77&lt;=DATE(2026,9,30)),1,0)</f>
        <v>0</v>
      </c>
    </row>
    <row r="78">
      <c r="A78" s="16" t="inlineStr">
        <is>
          <t>N01320</t>
        </is>
      </c>
      <c r="B78" s="16" t="inlineStr">
        <is>
          <t>B118</t>
        </is>
      </c>
      <c r="C78" s="27" t="n">
        <v>46239</v>
      </c>
      <c r="D78" s="16" t="inlineStr">
        <is>
          <t>en</t>
        </is>
      </c>
      <c r="E78" s="7">
        <f>IF(AND(C78&gt;DATE(2026,8,1),C78&lt;=DATE(2026,8,31)),1,0)</f>
        <v>1</v>
      </c>
      <c r="F78" s="7">
        <f>IF(E78=1,IF(COUNTIFS($B$2:B78,B78,$E$2:E78,1)=1,1,0),0)</f>
        <v>0</v>
      </c>
      <c r="G78" s="7">
        <f>IF(AND(C78&gt;DATE(2026,8,31),C78&lt;=DATE(2026,9,30)),1,0)</f>
        <v>0</v>
      </c>
    </row>
    <row r="79">
      <c r="A79" s="16" t="inlineStr">
        <is>
          <t>N01321</t>
        </is>
      </c>
      <c r="B79" s="16" t="inlineStr">
        <is>
          <t>B140</t>
        </is>
      </c>
      <c r="C79" s="27" t="n">
        <v>46239</v>
      </c>
      <c r="D79" s="16" t="inlineStr">
        <is>
          <t>en</t>
        </is>
      </c>
      <c r="E79" s="7">
        <f>IF(AND(C79&gt;DATE(2026,8,1),C79&lt;=DATE(2026,8,31)),1,0)</f>
        <v>1</v>
      </c>
      <c r="F79" s="7">
        <f>IF(E79=1,IF(COUNTIFS($B$2:B79,B79,$E$2:E79,1)=1,1,0),0)</f>
        <v>0</v>
      </c>
      <c r="G79" s="7">
        <f>IF(AND(C79&gt;DATE(2026,8,31),C79&lt;=DATE(2026,9,30)),1,0)</f>
        <v>0</v>
      </c>
    </row>
    <row r="80">
      <c r="A80" s="16" t="inlineStr">
        <is>
          <t>N01317</t>
        </is>
      </c>
      <c r="B80" s="16" t="inlineStr">
        <is>
          <t>B079</t>
        </is>
      </c>
      <c r="C80" s="27" t="n">
        <v>46238</v>
      </c>
      <c r="D80" s="16" t="inlineStr">
        <is>
          <t>en</t>
        </is>
      </c>
      <c r="E80" s="7">
        <f>IF(AND(C80&gt;DATE(2026,8,1),C80&lt;=DATE(2026,8,31)),1,0)</f>
        <v>1</v>
      </c>
      <c r="F80" s="7">
        <f>IF(E80=1,IF(COUNTIFS($B$2:B80,B80,$E$2:E80,1)=1,1,0),0)</f>
        <v>1</v>
      </c>
      <c r="G80" s="7">
        <f>IF(AND(C80&gt;DATE(2026,8,31),C80&lt;=DATE(2026,9,30)),1,0)</f>
        <v>0</v>
      </c>
    </row>
    <row r="81">
      <c r="A81" s="16" t="inlineStr">
        <is>
          <t>N01318</t>
        </is>
      </c>
      <c r="B81" s="16" t="inlineStr">
        <is>
          <t>B100</t>
        </is>
      </c>
      <c r="C81" s="27" t="n">
        <v>46238</v>
      </c>
      <c r="D81" s="16" t="inlineStr">
        <is>
          <t>en</t>
        </is>
      </c>
      <c r="E81" s="7">
        <f>IF(AND(C81&gt;DATE(2026,8,1),C81&lt;=DATE(2026,8,31)),1,0)</f>
        <v>1</v>
      </c>
      <c r="F81" s="7">
        <f>IF(E81=1,IF(COUNTIFS($B$2:B81,B81,$E$2:E81,1)=1,1,0),0)</f>
        <v>1</v>
      </c>
      <c r="G81" s="7">
        <f>IF(AND(C81&gt;DATE(2026,8,31),C81&lt;=DATE(2026,9,30)),1,0)</f>
        <v>0</v>
      </c>
    </row>
    <row r="82">
      <c r="A82" s="16" t="inlineStr">
        <is>
          <t>N01311</t>
        </is>
      </c>
      <c r="B82" s="16" t="inlineStr">
        <is>
          <t>B013</t>
        </is>
      </c>
      <c r="C82" s="27" t="n">
        <v>46237</v>
      </c>
      <c r="D82" s="16" t="inlineStr">
        <is>
          <t>en</t>
        </is>
      </c>
      <c r="E82" s="7">
        <f>IF(AND(C82&gt;DATE(2026,8,1),C82&lt;=DATE(2026,8,31)),1,0)</f>
        <v>1</v>
      </c>
      <c r="F82" s="7">
        <f>IF(E82=1,IF(COUNTIFS($B$2:B82,B82,$E$2:E82,1)=1,1,0),0)</f>
        <v>1</v>
      </c>
      <c r="G82" s="7">
        <f>IF(AND(C82&gt;DATE(2026,8,31),C82&lt;=DATE(2026,9,30)),1,0)</f>
        <v>0</v>
      </c>
    </row>
    <row r="83">
      <c r="A83" s="16" t="inlineStr">
        <is>
          <t>N01312</t>
        </is>
      </c>
      <c r="B83" s="16" t="inlineStr">
        <is>
          <t>B081</t>
        </is>
      </c>
      <c r="C83" s="27" t="n">
        <v>46237</v>
      </c>
      <c r="D83" s="16" t="inlineStr">
        <is>
          <t>ko</t>
        </is>
      </c>
      <c r="E83" s="7">
        <f>IF(AND(C83&gt;DATE(2026,8,1),C83&lt;=DATE(2026,8,31)),1,0)</f>
        <v>1</v>
      </c>
      <c r="F83" s="7">
        <f>IF(E83=1,IF(COUNTIFS($B$2:B83,B83,$E$2:E83,1)=1,1,0),0)</f>
        <v>1</v>
      </c>
      <c r="G83" s="7">
        <f>IF(AND(C83&gt;DATE(2026,8,31),C83&lt;=DATE(2026,9,30)),1,0)</f>
        <v>0</v>
      </c>
    </row>
    <row r="84">
      <c r="A84" s="16" t="inlineStr">
        <is>
          <t>N01313</t>
        </is>
      </c>
      <c r="B84" s="16" t="inlineStr">
        <is>
          <t>B086</t>
        </is>
      </c>
      <c r="C84" s="27" t="n">
        <v>46237</v>
      </c>
      <c r="D84" s="16" t="inlineStr">
        <is>
          <t>ko</t>
        </is>
      </c>
      <c r="E84" s="7">
        <f>IF(AND(C84&gt;DATE(2026,8,1),C84&lt;=DATE(2026,8,31)),1,0)</f>
        <v>1</v>
      </c>
      <c r="F84" s="7">
        <f>IF(E84=1,IF(COUNTIFS($B$2:B84,B84,$E$2:E84,1)=1,1,0),0)</f>
        <v>1</v>
      </c>
      <c r="G84" s="7">
        <f>IF(AND(C84&gt;DATE(2026,8,31),C84&lt;=DATE(2026,9,30)),1,0)</f>
        <v>0</v>
      </c>
    </row>
    <row r="85">
      <c r="A85" s="16" t="inlineStr">
        <is>
          <t>N01314</t>
        </is>
      </c>
      <c r="B85" s="16" t="inlineStr">
        <is>
          <t>B088</t>
        </is>
      </c>
      <c r="C85" s="27" t="n">
        <v>46237</v>
      </c>
      <c r="D85" s="16" t="inlineStr">
        <is>
          <t>en</t>
        </is>
      </c>
      <c r="E85" s="7">
        <f>IF(AND(C85&gt;DATE(2026,8,1),C85&lt;=DATE(2026,8,31)),1,0)</f>
        <v>1</v>
      </c>
      <c r="F85" s="7">
        <f>IF(E85=1,IF(COUNTIFS($B$2:B85,B85,$E$2:E85,1)=1,1,0),0)</f>
        <v>1</v>
      </c>
      <c r="G85" s="7">
        <f>IF(AND(C85&gt;DATE(2026,8,31),C85&lt;=DATE(2026,9,30)),1,0)</f>
        <v>0</v>
      </c>
    </row>
    <row r="86">
      <c r="A86" s="16" t="inlineStr">
        <is>
          <t>N01315</t>
        </is>
      </c>
      <c r="B86" s="16" t="inlineStr">
        <is>
          <t>B116</t>
        </is>
      </c>
      <c r="C86" s="27" t="n">
        <v>46237</v>
      </c>
      <c r="D86" s="16" t="inlineStr">
        <is>
          <t>ko</t>
        </is>
      </c>
      <c r="E86" s="7">
        <f>IF(AND(C86&gt;DATE(2026,8,1),C86&lt;=DATE(2026,8,31)),1,0)</f>
        <v>1</v>
      </c>
      <c r="F86" s="7">
        <f>IF(E86=1,IF(COUNTIFS($B$2:B86,B86,$E$2:E86,1)=1,1,0),0)</f>
        <v>1</v>
      </c>
      <c r="G86" s="7">
        <f>IF(AND(C86&gt;DATE(2026,8,31),C86&lt;=DATE(2026,9,30)),1,0)</f>
        <v>0</v>
      </c>
    </row>
    <row r="87">
      <c r="A87" s="16" t="inlineStr">
        <is>
          <t>N01316</t>
        </is>
      </c>
      <c r="B87" s="16" t="inlineStr">
        <is>
          <t>B126</t>
        </is>
      </c>
      <c r="C87" s="27" t="n">
        <v>46237</v>
      </c>
      <c r="D87" s="16" t="inlineStr">
        <is>
          <t>en</t>
        </is>
      </c>
      <c r="E87" s="7">
        <f>IF(AND(C87&gt;DATE(2026,8,1),C87&lt;=DATE(2026,8,31)),1,0)</f>
        <v>1</v>
      </c>
      <c r="F87" s="7">
        <f>IF(E87=1,IF(COUNTIFS($B$2:B87,B87,$E$2:E87,1)=1,1,0),0)</f>
        <v>1</v>
      </c>
      <c r="G87" s="7">
        <f>IF(AND(C87&gt;DATE(2026,8,31),C87&lt;=DATE(2026,9,30)),1,0)</f>
        <v>0</v>
      </c>
    </row>
    <row r="88">
      <c r="A88" s="16" t="inlineStr">
        <is>
          <t>N01303</t>
        </is>
      </c>
      <c r="B88" s="16" t="inlineStr">
        <is>
          <t>B070</t>
        </is>
      </c>
      <c r="C88" s="27" t="n">
        <v>46231</v>
      </c>
      <c r="D88" s="16" t="inlineStr">
        <is>
          <t>en</t>
        </is>
      </c>
      <c r="E88" s="7">
        <f>IF(AND(C88&gt;DATE(2026,8,1),C88&lt;=DATE(2026,8,31)),1,0)</f>
        <v>0</v>
      </c>
      <c r="F88" s="7">
        <f>IF(E88=1,IF(COUNTIFS($B$2:B88,B88,$E$2:E88,1)=1,1,0),0)</f>
        <v>0</v>
      </c>
      <c r="G88" s="7">
        <f>IF(AND(C88&gt;DATE(2026,8,31),C88&lt;=DATE(2026,9,30)),1,0)</f>
        <v>0</v>
      </c>
    </row>
    <row r="89">
      <c r="A89" s="16" t="inlineStr">
        <is>
          <t>N01292</t>
        </is>
      </c>
      <c r="B89" s="16" t="inlineStr">
        <is>
          <t>B008</t>
        </is>
      </c>
      <c r="C89" s="27" t="n">
        <v>46224</v>
      </c>
      <c r="D89" s="16" t="inlineStr">
        <is>
          <t>en</t>
        </is>
      </c>
      <c r="E89" s="7">
        <f>IF(AND(C89&gt;DATE(2026,8,1),C89&lt;=DATE(2026,8,31)),1,0)</f>
        <v>0</v>
      </c>
      <c r="F89" s="7">
        <f>IF(E89=1,IF(COUNTIFS($B$2:B89,B89,$E$2:E89,1)=1,1,0),0)</f>
        <v>0</v>
      </c>
      <c r="G89" s="7">
        <f>IF(AND(C89&gt;DATE(2026,8,31),C89&lt;=DATE(2026,9,30)),1,0)</f>
        <v>0</v>
      </c>
    </row>
    <row r="90">
      <c r="A90" s="16" t="inlineStr">
        <is>
          <t>N01293</t>
        </is>
      </c>
      <c r="B90" s="16" t="inlineStr">
        <is>
          <t>B065</t>
        </is>
      </c>
      <c r="C90" s="27" t="n">
        <v>46224</v>
      </c>
      <c r="D90" s="16" t="inlineStr">
        <is>
          <t>en</t>
        </is>
      </c>
      <c r="E90" s="7">
        <f>IF(AND(C90&gt;DATE(2026,8,1),C90&lt;=DATE(2026,8,31)),1,0)</f>
        <v>0</v>
      </c>
      <c r="F90" s="7">
        <f>IF(E90=1,IF(COUNTIFS($B$2:B90,B90,$E$2:E90,1)=1,1,0),0)</f>
        <v>0</v>
      </c>
      <c r="G90" s="7">
        <f>IF(AND(C90&gt;DATE(2026,8,31),C90&lt;=DATE(2026,9,30)),1,0)</f>
        <v>0</v>
      </c>
    </row>
    <row r="91">
      <c r="A91" s="16" t="inlineStr">
        <is>
          <t>N01295</t>
        </is>
      </c>
      <c r="B91" s="16" t="inlineStr">
        <is>
          <t>B128</t>
        </is>
      </c>
      <c r="C91" s="27" t="n">
        <v>46224</v>
      </c>
      <c r="D91" s="16" t="inlineStr">
        <is>
          <t>en</t>
        </is>
      </c>
      <c r="E91" s="7">
        <f>IF(AND(C91&gt;DATE(2026,8,1),C91&lt;=DATE(2026,8,31)),1,0)</f>
        <v>0</v>
      </c>
      <c r="F91" s="7">
        <f>IF(E91=1,IF(COUNTIFS($B$2:B91,B91,$E$2:E91,1)=1,1,0),0)</f>
        <v>0</v>
      </c>
      <c r="G91" s="7">
        <f>IF(AND(C91&gt;DATE(2026,8,31),C91&lt;=DATE(2026,9,30)),1,0)</f>
        <v>0</v>
      </c>
    </row>
    <row r="92">
      <c r="A92" s="16" t="inlineStr">
        <is>
          <t>N01286</t>
        </is>
      </c>
      <c r="B92" s="16" t="inlineStr">
        <is>
          <t>B034</t>
        </is>
      </c>
      <c r="C92" s="27" t="n">
        <v>46222</v>
      </c>
      <c r="D92" s="16" t="inlineStr">
        <is>
          <t>en</t>
        </is>
      </c>
      <c r="E92" s="7">
        <f>IF(AND(C92&gt;DATE(2026,8,1),C92&lt;=DATE(2026,8,31)),1,0)</f>
        <v>0</v>
      </c>
      <c r="F92" s="7">
        <f>IF(E92=1,IF(COUNTIFS($B$2:B92,B92,$E$2:E92,1)=1,1,0),0)</f>
        <v>0</v>
      </c>
      <c r="G92" s="7">
        <f>IF(AND(C92&gt;DATE(2026,8,31),C92&lt;=DATE(2026,9,30)),1,0)</f>
        <v>0</v>
      </c>
    </row>
    <row r="93">
      <c r="A93" s="16" t="inlineStr">
        <is>
          <t>N01285</t>
        </is>
      </c>
      <c r="B93" s="16" t="inlineStr">
        <is>
          <t>B076</t>
        </is>
      </c>
      <c r="C93" s="27" t="n">
        <v>46220</v>
      </c>
      <c r="D93" s="16" t="inlineStr">
        <is>
          <t>ko</t>
        </is>
      </c>
      <c r="E93" s="7">
        <f>IF(AND(C93&gt;DATE(2026,8,1),C93&lt;=DATE(2026,8,31)),1,0)</f>
        <v>0</v>
      </c>
      <c r="F93" s="7">
        <f>IF(E93=1,IF(COUNTIFS($B$2:B93,B93,$E$2:E93,1)=1,1,0),0)</f>
        <v>0</v>
      </c>
      <c r="G93" s="7">
        <f>IF(AND(C93&gt;DATE(2026,8,31),C93&lt;=DATE(2026,9,30)),1,0)</f>
        <v>0</v>
      </c>
    </row>
    <row r="94">
      <c r="A94" s="16" t="inlineStr">
        <is>
          <t>N01283</t>
        </is>
      </c>
      <c r="B94" s="16" t="inlineStr">
        <is>
          <t>B128</t>
        </is>
      </c>
      <c r="C94" s="27" t="n">
        <v>46219</v>
      </c>
      <c r="D94" s="16" t="inlineStr">
        <is>
          <t>en</t>
        </is>
      </c>
      <c r="E94" s="7">
        <f>IF(AND(C94&gt;DATE(2026,8,1),C94&lt;=DATE(2026,8,31)),1,0)</f>
        <v>0</v>
      </c>
      <c r="F94" s="7">
        <f>IF(E94=1,IF(COUNTIFS($B$2:B94,B94,$E$2:E94,1)=1,1,0),0)</f>
        <v>0</v>
      </c>
      <c r="G94" s="7">
        <f>IF(AND(C94&gt;DATE(2026,8,31),C94&lt;=DATE(2026,9,30)),1,0)</f>
        <v>0</v>
      </c>
    </row>
    <row r="95">
      <c r="A95" s="16" t="inlineStr">
        <is>
          <t>N01279</t>
        </is>
      </c>
      <c r="B95" s="16" t="inlineStr">
        <is>
          <t>B079</t>
        </is>
      </c>
      <c r="C95" s="27" t="n">
        <v>46215</v>
      </c>
      <c r="D95" s="16" t="inlineStr">
        <is>
          <t>en</t>
        </is>
      </c>
      <c r="E95" s="7">
        <f>IF(AND(C95&gt;DATE(2026,8,1),C95&lt;=DATE(2026,8,31)),1,0)</f>
        <v>0</v>
      </c>
      <c r="F95" s="7">
        <f>IF(E95=1,IF(COUNTIFS($B$2:B95,B95,$E$2:E95,1)=1,1,0),0)</f>
        <v>0</v>
      </c>
      <c r="G95" s="7">
        <f>IF(AND(C95&gt;DATE(2026,8,31),C95&lt;=DATE(2026,9,30)),1,0)</f>
        <v>0</v>
      </c>
    </row>
    <row r="96">
      <c r="A96" s="16" t="inlineStr">
        <is>
          <t>N01273</t>
        </is>
      </c>
      <c r="B96" s="16" t="inlineStr">
        <is>
          <t>B052</t>
        </is>
      </c>
      <c r="C96" s="27" t="n">
        <v>46213</v>
      </c>
      <c r="D96" s="16" t="inlineStr">
        <is>
          <t>en</t>
        </is>
      </c>
      <c r="E96" s="7">
        <f>IF(AND(C96&gt;DATE(2026,8,1),C96&lt;=DATE(2026,8,31)),1,0)</f>
        <v>0</v>
      </c>
      <c r="F96" s="7">
        <f>IF(E96=1,IF(COUNTIFS($B$2:B96,B96,$E$2:E96,1)=1,1,0),0)</f>
        <v>0</v>
      </c>
      <c r="G96" s="7">
        <f>IF(AND(C96&gt;DATE(2026,8,31),C96&lt;=DATE(2026,9,30)),1,0)</f>
        <v>0</v>
      </c>
    </row>
    <row r="97">
      <c r="A97" s="16" t="inlineStr">
        <is>
          <t>N01267</t>
        </is>
      </c>
      <c r="B97" s="16" t="inlineStr">
        <is>
          <t>B078</t>
        </is>
      </c>
      <c r="C97" s="27" t="n">
        <v>46209</v>
      </c>
      <c r="D97" s="16" t="inlineStr">
        <is>
          <t>en</t>
        </is>
      </c>
      <c r="E97" s="7">
        <f>IF(AND(C97&gt;DATE(2026,8,1),C97&lt;=DATE(2026,8,31)),1,0)</f>
        <v>0</v>
      </c>
      <c r="F97" s="7">
        <f>IF(E97=1,IF(COUNTIFS($B$2:B97,B97,$E$2:E97,1)=1,1,0),0)</f>
        <v>0</v>
      </c>
      <c r="G97" s="7">
        <f>IF(AND(C97&gt;DATE(2026,8,31),C97&lt;=DATE(2026,9,30)),1,0)</f>
        <v>0</v>
      </c>
    </row>
    <row r="98">
      <c r="A98" s="16" t="inlineStr">
        <is>
          <t>N01259</t>
        </is>
      </c>
      <c r="B98" s="16" t="inlineStr">
        <is>
          <t>B005</t>
        </is>
      </c>
      <c r="C98" s="27" t="n">
        <v>46205</v>
      </c>
      <c r="D98" s="16" t="inlineStr">
        <is>
          <t>vi</t>
        </is>
      </c>
      <c r="E98" s="7">
        <f>IF(AND(C98&gt;DATE(2026,8,1),C98&lt;=DATE(2026,8,31)),1,0)</f>
        <v>0</v>
      </c>
      <c r="F98" s="7">
        <f>IF(E98=1,IF(COUNTIFS($B$2:B98,B98,$E$2:E98,1)=1,1,0),0)</f>
        <v>0</v>
      </c>
      <c r="G98" s="7">
        <f>IF(AND(C98&gt;DATE(2026,8,31),C98&lt;=DATE(2026,9,30)),1,0)</f>
        <v>0</v>
      </c>
    </row>
    <row r="99">
      <c r="A99" s="16" t="inlineStr">
        <is>
          <t>N01261</t>
        </is>
      </c>
      <c r="B99" s="16" t="inlineStr">
        <is>
          <t>B098</t>
        </is>
      </c>
      <c r="C99" s="27" t="n">
        <v>46205</v>
      </c>
      <c r="D99" s="16" t="inlineStr">
        <is>
          <t>en</t>
        </is>
      </c>
      <c r="E99" s="7">
        <f>IF(AND(C99&gt;DATE(2026,8,1),C99&lt;=DATE(2026,8,31)),1,0)</f>
        <v>0</v>
      </c>
      <c r="F99" s="7">
        <f>IF(E99=1,IF(COUNTIFS($B$2:B99,B99,$E$2:E99,1)=1,1,0),0)</f>
        <v>0</v>
      </c>
      <c r="G99" s="7">
        <f>IF(AND(C99&gt;DATE(2026,8,31),C99&lt;=DATE(2026,9,30)),1,0)</f>
        <v>0</v>
      </c>
    </row>
    <row r="100">
      <c r="A100" s="16" t="inlineStr">
        <is>
          <t>N01257</t>
        </is>
      </c>
      <c r="B100" s="16" t="inlineStr">
        <is>
          <t>B080</t>
        </is>
      </c>
      <c r="C100" s="27" t="n">
        <v>46203</v>
      </c>
      <c r="D100" s="16" t="inlineStr">
        <is>
          <t>en</t>
        </is>
      </c>
      <c r="E100" s="7">
        <f>IF(AND(C100&gt;DATE(2026,8,1),C100&lt;=DATE(2026,8,31)),1,0)</f>
        <v>0</v>
      </c>
      <c r="F100" s="7">
        <f>IF(E100=1,IF(COUNTIFS($B$2:B100,B100,$E$2:E100,1)=1,1,0),0)</f>
        <v>0</v>
      </c>
      <c r="G100" s="7">
        <f>IF(AND(C100&gt;DATE(2026,8,31),C100&lt;=DATE(2026,9,30)),1,0)</f>
        <v>0</v>
      </c>
    </row>
    <row r="101">
      <c r="A101" s="16" t="inlineStr">
        <is>
          <t>N01245</t>
        </is>
      </c>
      <c r="B101" s="16" t="inlineStr">
        <is>
          <t>B062</t>
        </is>
      </c>
      <c r="C101" s="27" t="n">
        <v>46195</v>
      </c>
      <c r="D101" s="16" t="inlineStr">
        <is>
          <t>en</t>
        </is>
      </c>
      <c r="E101" s="7">
        <f>IF(AND(C101&gt;DATE(2026,8,1),C101&lt;=DATE(2026,8,31)),1,0)</f>
        <v>0</v>
      </c>
      <c r="F101" s="7">
        <f>IF(E101=1,IF(COUNTIFS($B$2:B101,B101,$E$2:E101,1)=1,1,0),0)</f>
        <v>0</v>
      </c>
      <c r="G101" s="7">
        <f>IF(AND(C101&gt;DATE(2026,8,31),C101&lt;=DATE(2026,9,30)),1,0)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</dc:creator>
  <dc:title xmlns:dc="http://purl.org/dc/elements/1.1/">2일차 엑셀 검산본</dc:title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  <cp:lastModifiedBy>tradefin-ai-2026</cp:lastModifiedBy>
</cp:coreProperties>
</file>