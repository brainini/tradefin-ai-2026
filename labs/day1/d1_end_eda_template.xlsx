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코드표" sheetId="1" state="visible" r:id="rId1"/>
    <sheet xmlns:r="http://schemas.openxmlformats.org/officeDocument/2006/relationships" name="01_보고서신호" sheetId="2" state="visible" r:id="rId2"/>
    <sheet xmlns:r="http://schemas.openxmlformats.org/officeDocument/2006/relationships" name="02_비율검증" sheetId="3" state="visible" r:id="rId3"/>
    <sheet xmlns:r="http://schemas.openxmlformats.org/officeDocument/2006/relationships" name="03_EDA" sheetId="4" state="visible" r:id="rId4"/>
    <sheet xmlns:r="http://schemas.openxmlformats.org/officeDocument/2006/relationships" name="04_피벗" sheetId="5" state="visible" r:id="rId5"/>
    <sheet xmlns:r="http://schemas.openxmlformats.org/officeDocument/2006/relationships" name="05_변수정의서" sheetId="6" state="visible" r:id="rId6"/>
    <sheet xmlns:r="http://schemas.openxmlformats.org/officeDocument/2006/relationships" name="06_현안정의서" sheetId="7" state="visible" r:id="rId7"/>
    <sheet xmlns:r="http://schemas.openxmlformats.org/officeDocument/2006/relationships" name="07_내AX프로젝트" sheetId="8" state="visible" r:id="rId8"/>
  </sheets>
  <definedNames>
    <definedName name="_xlnm.Print_Titles" localSheetId="0">'00_코드표'!$5:$5</definedName>
    <definedName name="_xlnm.Print_Titles" localSheetId="1">'01_보고서신호'!$5:$5</definedName>
    <definedName name="_xlnm.Print_Titles" localSheetId="2">'02_비율검증'!$5:$5</definedName>
    <definedName name="_xlnm.Print_Titles" localSheetId="5">'05_변수정의서'!$5:$5</definedName>
    <definedName name="_xlnm.Print_Titles" localSheetId="6">'06_현안정의서'!$5:$5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맑은 고딕"/>
      <charset val="129"/>
      <family val="3"/>
      <sz val="10"/>
    </font>
    <font>
      <name val="맑은 고딕"/>
      <charset val="129"/>
      <b val="1"/>
      <color rgb="0013203A"/>
      <sz val="14"/>
    </font>
    <font>
      <name val="맑은 고딕"/>
      <charset val="129"/>
      <b val="1"/>
      <color rgb="0013203A"/>
      <sz val="10.5"/>
    </font>
    <font>
      <name val="맑은 고딕"/>
      <charset val="129"/>
      <color rgb="005B6475"/>
      <sz val="9"/>
    </font>
    <font>
      <name val="맑은 고딕"/>
      <charset val="129"/>
      <b val="1"/>
      <color rgb="00FFFFFF"/>
      <sz val="10"/>
    </font>
    <font>
      <name val="맑은 고딕"/>
      <charset val="129"/>
      <color rgb="003D4656"/>
      <sz val="10"/>
    </font>
    <font>
      <name val="맑은 고딕"/>
      <charset val="129"/>
      <b val="1"/>
      <color rgb="0013203A"/>
      <sz val="10"/>
    </font>
    <font>
      <name val="맑은 고딕"/>
      <charset val="129"/>
      <color rgb="003D4656"/>
      <sz val="9.5"/>
    </font>
    <font>
      <name val="맑은 고딕"/>
      <charset val="129"/>
      <i val="1"/>
      <color rgb="005B6475"/>
      <sz val="9"/>
    </font>
    <font>
      <name val="맑은 고딕"/>
      <charset val="129"/>
      <color rgb="00000000"/>
      <sz val="10"/>
    </font>
    <font>
      <name val="맑은 고딕"/>
      <charset val="129"/>
      <b val="1"/>
      <color rgb="001F5FD1"/>
      <sz val="11"/>
    </font>
    <font>
      <name val="맑은 고딕"/>
      <charset val="129"/>
      <i val="1"/>
      <color rgb="00C2410C"/>
      <sz val="9"/>
    </font>
  </fonts>
  <fills count="11">
    <fill>
      <patternFill/>
    </fill>
    <fill>
      <patternFill patternType="gray125"/>
    </fill>
    <fill>
      <patternFill patternType="solid">
        <fgColor rgb="00ECEAE3"/>
      </patternFill>
    </fill>
    <fill>
      <patternFill patternType="solid">
        <fgColor rgb="0013203A"/>
      </patternFill>
    </fill>
    <fill>
      <patternFill patternType="solid">
        <fgColor rgb="00D6E4FB"/>
      </patternFill>
    </fill>
    <fill>
      <patternFill patternType="solid">
        <fgColor rgb="00F6F5F1"/>
      </patternFill>
    </fill>
    <fill>
      <patternFill patternType="solid">
        <fgColor rgb="00F2F2F2"/>
      </patternFill>
    </fill>
    <fill>
      <patternFill patternType="solid">
        <fgColor rgb="00FFF4CC"/>
      </patternFill>
    </fill>
    <fill>
      <patternFill patternType="solid">
        <fgColor rgb="00FAFAF7"/>
      </patternFill>
    </fill>
    <fill>
      <patternFill patternType="solid">
        <fgColor rgb="00E7E7E7"/>
      </patternFill>
    </fill>
    <fill>
      <patternFill patternType="solid">
        <fgColor rgb="00FBDCC8"/>
      </patternFill>
    </fill>
  </fills>
  <borders count="2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dashed">
        <color rgb="008A94A6"/>
      </top>
      <bottom/>
    </border>
    <border>
      <left/>
      <right/>
      <top/>
      <bottom style="dashed">
        <color rgb="008A94A6"/>
      </bottom>
    </border>
    <border>
      <left style="dashed">
        <color rgb="008A94A6"/>
      </left>
      <right/>
      <top style="dashed">
        <color rgb="008A94A6"/>
      </top>
      <bottom/>
    </border>
    <border>
      <left/>
      <right style="dashed">
        <color rgb="008A94A6"/>
      </right>
      <top style="dashed">
        <color rgb="008A94A6"/>
      </top>
      <bottom/>
    </border>
    <border>
      <left style="dashed">
        <color rgb="008A94A6"/>
      </left>
      <right/>
      <top/>
      <bottom/>
    </border>
    <border>
      <left/>
      <right style="dashed">
        <color rgb="008A94A6"/>
      </right>
      <top/>
      <bottom/>
    </border>
    <border>
      <left style="dashed">
        <color rgb="008A94A6"/>
      </left>
      <right/>
      <top/>
      <bottom style="dashed">
        <color rgb="008A94A6"/>
      </bottom>
    </border>
    <border>
      <left/>
      <right style="dashed">
        <color rgb="008A94A6"/>
      </right>
      <top/>
      <bottom style="dashed">
        <color rgb="008A94A6"/>
      </bottom>
    </border>
    <border>
      <left style="dashed">
        <color rgb="008A94A6"/>
      </left>
      <top style="dashed">
        <color rgb="008A94A6"/>
      </top>
    </border>
    <border>
      <top style="dashed">
        <color rgb="008A94A6"/>
      </top>
    </border>
    <border>
      <right style="dashed">
        <color rgb="008A94A6"/>
      </right>
      <top style="dashed">
        <color rgb="008A94A6"/>
      </top>
    </border>
    <border>
      <left style="dashed">
        <color rgb="008A94A6"/>
      </left>
    </border>
    <border/>
    <border>
      <right style="dashed">
        <color rgb="008A94A6"/>
      </right>
    </border>
    <border>
      <left style="dashed">
        <color rgb="008A94A6"/>
      </left>
      <bottom style="dashed">
        <color rgb="008A94A6"/>
      </bottom>
    </border>
    <border>
      <bottom style="dashed">
        <color rgb="008A94A6"/>
      </bottom>
    </border>
    <border>
      <right style="dashed">
        <color rgb="008A94A6"/>
      </right>
      <bottom style="dashed">
        <color rgb="008A94A6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164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2" fontId="9" fillId="7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top"/>
    </xf>
    <xf numFmtId="0" fontId="9" fillId="7" borderId="1" applyAlignment="1" pivotButton="0" quotePrefix="0" xfId="0">
      <alignment horizontal="right" vertical="top" wrapText="1"/>
    </xf>
    <xf numFmtId="2" fontId="9" fillId="7" borderId="1" applyAlignment="1" pivotButton="0" quotePrefix="0" xfId="0">
      <alignment horizontal="right" vertical="top" wrapText="1"/>
    </xf>
    <xf numFmtId="2" fontId="9" fillId="9" borderId="1" applyAlignment="1" pivotButton="0" quotePrefix="0" xfId="0">
      <alignment horizontal="right" vertical="top"/>
    </xf>
    <xf numFmtId="165" fontId="9" fillId="9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center" vertical="top" wrapText="1"/>
    </xf>
    <xf numFmtId="164" fontId="9" fillId="7" borderId="1" applyAlignment="1" pivotButton="0" quotePrefix="0" xfId="0">
      <alignment horizontal="right" vertical="top" wrapText="1"/>
    </xf>
    <xf numFmtId="164" fontId="9" fillId="9" borderId="1" applyAlignment="1" pivotButton="0" quotePrefix="0" xfId="0">
      <alignment horizontal="right" vertical="top"/>
    </xf>
    <xf numFmtId="1" fontId="5" fillId="0" borderId="1" applyAlignment="1" pivotButton="0" quotePrefix="0" xfId="0">
      <alignment horizontal="center" vertical="top" wrapText="1"/>
    </xf>
    <xf numFmtId="10" fontId="9" fillId="7" borderId="1" applyAlignment="1" pivotButton="0" quotePrefix="0" xfId="0">
      <alignment horizontal="right" vertical="top" wrapText="1"/>
    </xf>
    <xf numFmtId="10" fontId="9" fillId="9" borderId="1" applyAlignment="1" pivotButton="0" quotePrefix="0" xfId="0">
      <alignment horizontal="right" vertical="top"/>
    </xf>
    <xf numFmtId="1" fontId="9" fillId="7" borderId="1" applyAlignment="1" pivotButton="0" quotePrefix="0" xfId="0">
      <alignment horizontal="center" vertical="top" wrapText="1"/>
    </xf>
    <xf numFmtId="0" fontId="7" fillId="5" borderId="0" applyAlignment="1" pivotButton="0" quotePrefix="0" xfId="0">
      <alignment horizontal="left" vertical="top" wrapText="1"/>
    </xf>
    <xf numFmtId="0" fontId="9" fillId="8" borderId="8" applyAlignment="1" pivotButton="0" quotePrefix="0" xfId="0">
      <alignment horizontal="left" vertical="top"/>
    </xf>
    <xf numFmtId="0" fontId="9" fillId="8" borderId="6" applyAlignment="1" pivotButton="0" quotePrefix="0" xfId="0">
      <alignment horizontal="left" vertical="top"/>
    </xf>
    <xf numFmtId="0" fontId="9" fillId="8" borderId="9" applyAlignment="1" pivotButton="0" quotePrefix="0" xfId="0">
      <alignment horizontal="left" vertical="top"/>
    </xf>
    <xf numFmtId="0" fontId="9" fillId="8" borderId="10" applyAlignment="1" pivotButton="0" quotePrefix="0" xfId="0">
      <alignment horizontal="left" vertical="top"/>
    </xf>
    <xf numFmtId="0" fontId="9" fillId="8" borderId="11" applyAlignment="1" pivotButton="0" quotePrefix="0" xfId="0">
      <alignment horizontal="left" vertical="top"/>
    </xf>
    <xf numFmtId="0" fontId="9" fillId="8" borderId="12" applyAlignment="1" pivotButton="0" quotePrefix="0" xfId="0">
      <alignment horizontal="left" vertical="top"/>
    </xf>
    <xf numFmtId="0" fontId="9" fillId="8" borderId="7" applyAlignment="1" pivotButton="0" quotePrefix="0" xfId="0">
      <alignment horizontal="left" vertical="top"/>
    </xf>
    <xf numFmtId="0" fontId="9" fillId="8" borderId="13" applyAlignment="1" pivotButton="0" quotePrefix="0" xfId="0">
      <alignment horizontal="left" vertical="top"/>
    </xf>
    <xf numFmtId="165" fontId="9" fillId="7" borderId="1" applyAlignment="1" pivotButton="0" quotePrefix="0" xfId="0">
      <alignment horizontal="right" vertical="top" wrapText="1"/>
    </xf>
    <xf numFmtId="0" fontId="9" fillId="9" borderId="1" applyAlignment="1" pivotButton="0" quotePrefix="0" xfId="0">
      <alignment horizontal="center" vertical="top"/>
    </xf>
    <xf numFmtId="1" fontId="9" fillId="7" borderId="1" applyAlignment="1" pivotButton="0" quotePrefix="0" xfId="0">
      <alignment horizontal="right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1" fillId="10" borderId="1" applyAlignment="1" pivotButton="0" quotePrefix="0" xfId="0">
      <alignment horizontal="left" vertical="top" wrapText="1"/>
    </xf>
    <xf numFmtId="1" fontId="9" fillId="9" borderId="1" applyAlignment="1" pivotButton="0" quotePrefix="0" xfId="0">
      <alignment horizontal="right" vertical="top"/>
    </xf>
    <xf numFmtId="0" fontId="9" fillId="9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center" wrapText="1"/>
    </xf>
    <xf numFmtId="1" fontId="9" fillId="9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left" vertical="top"/>
    </xf>
  </cellXfs>
  <cellStyles count="1">
    <cellStyle name="Normal" xfId="0" builtinId="0" hidden="0"/>
  </cellStyles>
  <dxfs count="4">
    <dxf>
      <font>
        <name val="맑은 고딕"/>
        <b val="1"/>
        <color rgb="009C0006"/>
      </font>
      <fill>
        <patternFill patternType="solid">
          <fgColor rgb="00F8D7DA"/>
        </patternFill>
      </fill>
    </dxf>
    <dxf>
      <fill>
        <patternFill patternType="solid">
          <fgColor rgb="00FCE4CC"/>
        </patternFill>
      </fill>
    </dxf>
    <dxf>
      <font>
        <name val="맑은 고딕"/>
        <b val="1"/>
        <color rgb="009C3D00"/>
      </font>
      <fill>
        <patternFill patternType="solid">
          <fgColor rgb="00FCE4CC"/>
        </patternFill>
      </fill>
    </dxf>
    <dxf>
      <font>
        <name val="맑은 고딕"/>
        <b val="1"/>
        <color rgb="001E5631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codes" displayName="tbl_codes" ref="A5:D47" headerRowCount="1">
  <autoFilter ref="A5:D47"/>
  <tableColumns count="4">
    <tableColumn id="1" name="raw_variant"/>
    <tableColumn id="2" name="raw_upper"/>
    <tableColumn id="3" name="payment_method"/>
    <tableColumn id="4" name="설명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3203A"/>
    <outlinePr summaryBelow="1" summaryRight="1"/>
    <pageSetUpPr fitToPage="1"/>
  </sheetPr>
  <dimension ref="A1:H47"/>
  <sheetViews>
    <sheetView tabSelected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8" customWidth="1" min="3" max="3"/>
    <col width="58" customWidth="1" min="4" max="4"/>
    <col width="2.5" customWidth="1" min="5" max="5"/>
    <col width="30" customWidth="1" min="6" max="6"/>
    <col width="74" customWidth="1" min="7" max="7"/>
    <col width="46" customWidth="1" min="8" max="8"/>
  </cols>
  <sheetData>
    <row r="1" ht="24" customHeight="1">
      <c r="A1" s="1" t="inlineStr">
        <is>
          <t>00_코드표 · 결제조건 표기 → 정본 코드 7개 (Lab2)</t>
        </is>
      </c>
    </row>
    <row r="2" ht="35" customHeight="1">
      <c r="A2" s="2" t="inlineStr">
        <is>
          <t>결제조건 원문(payment_terms_raw)을 정본 코드 7개로 바꾸는 표입니다(표 이름: tbl_codes). buyers 시트에서 '미분류'가 나온 표기는 이 표 바로 아래 빈 줄에 한 줄씩 추가하세요.</t>
        </is>
      </c>
    </row>
    <row r="3">
      <c r="A3" s="3" t="inlineStr">
        <is>
          <t>표 = 강사가 미리 채운 표기 · 새 표기는 표 바로 아래 빈 줄에 입력 · 저장: [파일] → [다른 이름으로 저장] → d1_end_eda__T조-번호.xlsx</t>
        </is>
      </c>
    </row>
    <row r="5">
      <c r="A5" s="4" t="inlineStr">
        <is>
          <t>raw_variant</t>
        </is>
      </c>
      <c r="B5" s="4" t="inlineStr">
        <is>
          <t>raw_upper</t>
        </is>
      </c>
      <c r="C5" s="4" t="inlineStr">
        <is>
          <t>payment_method</t>
        </is>
      </c>
      <c r="D5" s="4" t="inlineStr">
        <is>
          <t>설명</t>
        </is>
      </c>
      <c r="F5" s="5" t="inlineStr">
        <is>
          <t>사용법 — 표 안이 아니라 여기를 읽으세요</t>
        </is>
      </c>
      <c r="G5" s="6" t="n"/>
      <c r="H5" s="7" t="n"/>
    </row>
    <row r="6" ht="19.5" customHeight="1">
      <c r="A6" s="8" t="inlineStr">
        <is>
          <t>T/T in advance</t>
        </is>
      </c>
      <c r="B6" s="8" t="inlineStr">
        <is>
          <t>T/T IN ADVANCE</t>
        </is>
      </c>
      <c r="C6" s="8" t="inlineStr">
        <is>
          <t>TT_ADV</t>
        </is>
      </c>
      <c r="D6" s="9" t="inlineStr">
        <is>
          <t>선수금 송금(T/T in advance) — 선적 전에 100% 송금</t>
        </is>
      </c>
      <c r="F6" s="10" t="inlineStr">
        <is>
          <t>1. 이 표는 결제조건 원문 표기 42개를 정본 코드 7개로 짝지어 둔 것입니다. 표 이름(tbl_codes)과 열 이름은 바꾸지 마세요.</t>
        </is>
      </c>
      <c r="G6" s="6" t="n"/>
      <c r="H6" s="7" t="n"/>
    </row>
    <row r="7" ht="19.5" customHeight="1">
      <c r="A7" s="8" t="inlineStr">
        <is>
          <t>TT ADVANCE</t>
        </is>
      </c>
      <c r="B7" s="8" t="inlineStr">
        <is>
          <t>TT ADVANCE</t>
        </is>
      </c>
      <c r="C7" s="8" t="inlineStr">
        <is>
          <t>TT_ADV</t>
        </is>
      </c>
      <c r="D7" s="9" t="inlineStr">
        <is>
          <t>선수금 송금(T/T in advance) — 선적 전에 100% 송금</t>
        </is>
      </c>
      <c r="F7" s="10" t="inlineStr">
        <is>
          <t>2. raw_upper = 원문의 앞뒤 공백을 지우고(TRIM) 대문자로 바꾼(UPPER) 값입니다. buyers 시트의 수식이 이 열에서 원문을 찾습니다.</t>
        </is>
      </c>
      <c r="G7" s="6" t="n"/>
      <c r="H7" s="7" t="n"/>
    </row>
    <row r="8" ht="19.5" customHeight="1">
      <c r="A8" s="8" t="inlineStr">
        <is>
          <t>100% T/T before shipment</t>
        </is>
      </c>
      <c r="B8" s="8" t="inlineStr">
        <is>
          <t>100% T/T BEFORE SHIPMENT</t>
        </is>
      </c>
      <c r="C8" s="8" t="inlineStr">
        <is>
          <t>TT_ADV</t>
        </is>
      </c>
      <c r="D8" s="9" t="inlineStr">
        <is>
          <t>선수금 송금(T/T in advance) — 선적 전에 100% 송금</t>
        </is>
      </c>
      <c r="F8" s="10" t="inlineStr">
        <is>
          <t>3. buyers 시트의 payment_method 열에 '미분류'가 나오면, 그 행의 payment_terms_raw 원문을 복사합니다.</t>
        </is>
      </c>
      <c r="G8" s="6" t="n"/>
      <c r="H8" s="7" t="n"/>
    </row>
    <row r="9" ht="48.5" customHeight="1">
      <c r="A9" s="8" t="inlineStr">
        <is>
          <t>T/T</t>
        </is>
      </c>
      <c r="B9" s="8" t="inlineStr">
        <is>
          <t>T/T</t>
        </is>
      </c>
      <c r="C9" s="8" t="inlineStr">
        <is>
          <t>TT_ADV</t>
        </is>
      </c>
      <c r="D9" s="9" t="inlineStr">
        <is>
          <t>선수금 송금(T/T in advance) — 선적 전에 100% 송금 · 모호: T/T만으로는 사전·사후 송금 구분 불가 → 원장 확인(이 데이터에서는 선수금)</t>
        </is>
      </c>
      <c r="F9" s="10" t="inlineStr">
        <is>
          <t>4. 이 표 바로 아래 첫 빈 줄(처음에는 48행, 다음에는 그 아래 줄)의 raw_variant 칸을 마우스 오른쪽 버튼으로 누르고 [붙여넣기 옵션] → [값]을 고릅니다. 표가 자동으로 한 줄 늘어납니다.</t>
        </is>
      </c>
      <c r="G9" s="6" t="n"/>
      <c r="H9" s="7" t="n"/>
    </row>
    <row r="10" ht="48.5" customHeight="1">
      <c r="A10" s="8" t="inlineStr">
        <is>
          <t>TT</t>
        </is>
      </c>
      <c r="B10" s="8" t="inlineStr">
        <is>
          <t>TT</t>
        </is>
      </c>
      <c r="C10" s="8" t="inlineStr">
        <is>
          <t>TT_ADV</t>
        </is>
      </c>
      <c r="D10" s="9" t="inlineStr">
        <is>
          <t>선수금 송금(T/T in advance) — 선적 전에 100% 송금 · 모호: T/T만으로는 사전·사후 송금 구분 불가 → 원장 확인(이 데이터에서는 선수금)</t>
        </is>
      </c>
      <c r="F10" s="10" t="inlineStr">
        <is>
          <t>5. 같은 줄 raw_upper 칸에 =UPPER(TRIM([@raw_variant])) 를 입력합니다(대문자로 직접 써도 됩니다).</t>
        </is>
      </c>
      <c r="G10" s="6" t="n"/>
      <c r="H10" s="7" t="n"/>
    </row>
    <row r="11" ht="19.5" customHeight="1">
      <c r="A11" s="8" t="inlineStr">
        <is>
          <t>T/T 30/70</t>
        </is>
      </c>
      <c r="B11" s="8" t="inlineStr">
        <is>
          <t>T/T 30/70</t>
        </is>
      </c>
      <c r="C11" s="8" t="inlineStr">
        <is>
          <t>TT_SPLIT_30_70</t>
        </is>
      </c>
      <c r="D11" s="9" t="inlineStr">
        <is>
          <t>분할 송금 30/70 — 30% 선적 전 + 70% 선적 후 30일</t>
        </is>
      </c>
      <c r="F11" s="10" t="inlineStr">
        <is>
          <t>6. payment_method 칸에서 목록(▼)으로 코드를 고르고, 설명 칸에 그렇게 판단한 이유를 한 줄 씁니다.</t>
        </is>
      </c>
      <c r="G11" s="6" t="n"/>
      <c r="H11" s="7" t="n"/>
    </row>
    <row r="12" ht="45.5" customHeight="1">
      <c r="A12" s="8" t="inlineStr">
        <is>
          <t>30% T/T advance, 70% within 30 days after B/L</t>
        </is>
      </c>
      <c r="B12" s="8" t="inlineStr">
        <is>
          <t>30% T/T ADVANCE, 70% WITHIN 30 DAYS AFTER B/L</t>
        </is>
      </c>
      <c r="C12" s="8" t="inlineStr">
        <is>
          <t>TT_SPLIT_30_70</t>
        </is>
      </c>
      <c r="D12" s="9" t="inlineStr">
        <is>
          <t>분할 송금 30/70 — 30% 선적 전 + 70% 선적 후 30일</t>
        </is>
      </c>
      <c r="F12" s="10" t="inlineStr">
        <is>
          <t>7. buyers 시트로 돌아가 그 행의 payment_method가 코드로 바뀌었는지 봅니다. '미분류'만 보이게 필터를 걸어 두었다면 [데이터] → [다시 적용]을 눌러야 목록이 새로 걸러집니다. 그대로 '미분류'면 붙여 넣은 원문이 buyers 시트의 원문과 글자 하나까지 같은지 봅니다. 같은 표기는 한 번만 추가하면 그 표기를 쓴 행이 모두 바뀝니다.</t>
        </is>
      </c>
      <c r="G12" s="6" t="n"/>
      <c r="H12" s="7" t="n"/>
    </row>
    <row r="13" ht="19.5" customHeight="1">
      <c r="A13" s="8" t="inlineStr">
        <is>
          <t>T/T 30:70</t>
        </is>
      </c>
      <c r="B13" s="8" t="inlineStr">
        <is>
          <t>T/T 30:70</t>
        </is>
      </c>
      <c r="C13" s="8" t="inlineStr">
        <is>
          <t>TT_SPLIT_30_70</t>
        </is>
      </c>
      <c r="D13" s="9" t="inlineStr">
        <is>
          <t>분할 송금 30/70 — 30% 선적 전 + 70% 선적 후 30일</t>
        </is>
      </c>
    </row>
    <row r="14" ht="19.5" customHeight="1">
      <c r="A14" s="8" t="inlineStr">
        <is>
          <t>O/A 30</t>
        </is>
      </c>
      <c r="B14" s="8" t="inlineStr">
        <is>
          <t>O/A 30</t>
        </is>
      </c>
      <c r="C14" s="8" t="inlineStr">
        <is>
          <t>OA</t>
        </is>
      </c>
      <c r="D14" s="9" t="inlineStr">
        <is>
          <t>사후송금(오픈어카운트, O/A) — 선적 후 30·60·90일</t>
        </is>
      </c>
      <c r="F14" s="5" t="inlineStr">
        <is>
          <t>정본 코드 7개</t>
        </is>
      </c>
      <c r="G14" s="6" t="n"/>
      <c r="H14" s="7" t="n"/>
    </row>
    <row r="15" ht="19.5" customHeight="1">
      <c r="A15" s="8" t="inlineStr">
        <is>
          <t>OA 30 days</t>
        </is>
      </c>
      <c r="B15" s="8" t="inlineStr">
        <is>
          <t>OA 30 DAYS</t>
        </is>
      </c>
      <c r="C15" s="8" t="inlineStr">
        <is>
          <t>OA</t>
        </is>
      </c>
      <c r="D15" s="9" t="inlineStr">
        <is>
          <t>사후송금(오픈어카운트, O/A) — 선적 후 30·60·90일</t>
        </is>
      </c>
      <c r="F15" s="4" t="inlineStr">
        <is>
          <t>코드</t>
        </is>
      </c>
      <c r="G15" s="4" t="inlineStr">
        <is>
          <t>뜻</t>
        </is>
      </c>
      <c r="H15" s="4" t="inlineStr">
        <is>
          <t>대금 받는 시점</t>
        </is>
      </c>
    </row>
    <row r="16" ht="19.5" customHeight="1">
      <c r="A16" s="8" t="inlineStr">
        <is>
          <t>O/A30</t>
        </is>
      </c>
      <c r="B16" s="8" t="inlineStr">
        <is>
          <t>O/A30</t>
        </is>
      </c>
      <c r="C16" s="8" t="inlineStr">
        <is>
          <t>OA</t>
        </is>
      </c>
      <c r="D16" s="9" t="inlineStr">
        <is>
          <t>사후송금(오픈어카운트, O/A) — 선적 후 30·60·90일</t>
        </is>
      </c>
      <c r="F16" s="9" t="inlineStr">
        <is>
          <t>TT_ADV</t>
        </is>
      </c>
      <c r="G16" s="9" t="inlineStr">
        <is>
          <t>선수금 송금(T/T in advance)</t>
        </is>
      </c>
      <c r="H16" s="9" t="inlineStr">
        <is>
          <t>선적 전에 100% 송금</t>
        </is>
      </c>
    </row>
    <row r="17" ht="34" customHeight="1">
      <c r="A17" s="8" t="inlineStr">
        <is>
          <t>T/T 30 days after B/L</t>
        </is>
      </c>
      <c r="B17" s="8" t="inlineStr">
        <is>
          <t>T/T 30 DAYS AFTER B/L</t>
        </is>
      </c>
      <c r="C17" s="8" t="inlineStr">
        <is>
          <t>OA</t>
        </is>
      </c>
      <c r="D17" s="9" t="inlineStr">
        <is>
          <t>사후송금(오픈어카운트, O/A) — 선적 후 30·60·90일 · T/T + 일수 = 사후송금(O/A)</t>
        </is>
      </c>
      <c r="F17" s="9" t="inlineStr">
        <is>
          <t>TT_SPLIT_30_70</t>
        </is>
      </c>
      <c r="G17" s="9" t="inlineStr">
        <is>
          <t>분할 송금 30/70</t>
        </is>
      </c>
      <c r="H17" s="9" t="inlineStr">
        <is>
          <t>30% 선적 전 + 70% 선적 후 30일</t>
        </is>
      </c>
    </row>
    <row r="18" ht="19.5" customHeight="1">
      <c r="A18" s="8" t="inlineStr">
        <is>
          <t>O/A 60</t>
        </is>
      </c>
      <c r="B18" s="8" t="inlineStr">
        <is>
          <t>O/A 60</t>
        </is>
      </c>
      <c r="C18" s="8" t="inlineStr">
        <is>
          <t>OA</t>
        </is>
      </c>
      <c r="D18" s="9" t="inlineStr">
        <is>
          <t>사후송금(오픈어카운트, O/A) — 선적 후 30·60·90일</t>
        </is>
      </c>
      <c r="F18" s="9" t="inlineStr">
        <is>
          <t>OA</t>
        </is>
      </c>
      <c r="G18" s="9" t="inlineStr">
        <is>
          <t>사후송금(오픈어카운트, O/A)</t>
        </is>
      </c>
      <c r="H18" s="9" t="inlineStr">
        <is>
          <t>선적 후 30·60·90일</t>
        </is>
      </c>
    </row>
    <row r="19" ht="19.5" customHeight="1">
      <c r="A19" s="8" t="inlineStr">
        <is>
          <t>O/A60</t>
        </is>
      </c>
      <c r="B19" s="8" t="inlineStr">
        <is>
          <t>O/A60</t>
        </is>
      </c>
      <c r="C19" s="8" t="inlineStr">
        <is>
          <t>OA</t>
        </is>
      </c>
      <c r="D19" s="9" t="inlineStr">
        <is>
          <t>사후송금(오픈어카운트, O/A) — 선적 후 30·60·90일</t>
        </is>
      </c>
      <c r="F19" s="9" t="inlineStr">
        <is>
          <t>DA</t>
        </is>
      </c>
      <c r="G19" s="9" t="inlineStr">
        <is>
          <t>인수인도조건 추심(D/A)</t>
        </is>
      </c>
      <c r="H19" s="9" t="inlineStr">
        <is>
          <t>어음 인수 후 만기</t>
        </is>
      </c>
    </row>
    <row r="20" ht="19.5" customHeight="1">
      <c r="A20" s="8" t="inlineStr">
        <is>
          <t>OA 60 days</t>
        </is>
      </c>
      <c r="B20" s="8" t="inlineStr">
        <is>
          <t>OA 60 DAYS</t>
        </is>
      </c>
      <c r="C20" s="8" t="inlineStr">
        <is>
          <t>OA</t>
        </is>
      </c>
      <c r="D20" s="9" t="inlineStr">
        <is>
          <t>사후송금(오픈어카운트, O/A) — 선적 후 30·60·90일</t>
        </is>
      </c>
      <c r="F20" s="9" t="inlineStr">
        <is>
          <t>DP</t>
        </is>
      </c>
      <c r="G20" s="9" t="inlineStr">
        <is>
          <t>지급인도조건 추심(D/P)</t>
        </is>
      </c>
      <c r="H20" s="9" t="inlineStr">
        <is>
          <t>대금을 내야 서류 인도</t>
        </is>
      </c>
    </row>
    <row r="21" ht="34" customHeight="1">
      <c r="A21" s="8" t="inlineStr">
        <is>
          <t>T/T 60days</t>
        </is>
      </c>
      <c r="B21" s="8" t="inlineStr">
        <is>
          <t>T/T 60DAYS</t>
        </is>
      </c>
      <c r="C21" s="8" t="inlineStr">
        <is>
          <t>OA</t>
        </is>
      </c>
      <c r="D21" s="9" t="inlineStr">
        <is>
          <t>사후송금(오픈어카운트, O/A) — 선적 후 30·60·90일 · T/T + 일수 = 사후송금(O/A)</t>
        </is>
      </c>
      <c r="F21" s="9" t="inlineStr">
        <is>
          <t>LC_SIGHT</t>
        </is>
      </c>
      <c r="G21" s="9" t="inlineStr">
        <is>
          <t>일람불 신용장(Sight L/C)</t>
        </is>
      </c>
      <c r="H21" s="9" t="inlineStr">
        <is>
          <t>서류 심사 후 바로</t>
        </is>
      </c>
    </row>
    <row r="22" ht="19.5" customHeight="1">
      <c r="A22" s="8" t="inlineStr">
        <is>
          <t>T/T 60 days after B/L</t>
        </is>
      </c>
      <c r="B22" s="8" t="inlineStr">
        <is>
          <t>T/T 60 DAYS AFTER B/L</t>
        </is>
      </c>
      <c r="C22" s="8" t="inlineStr">
        <is>
          <t>OA</t>
        </is>
      </c>
      <c r="D22" s="9" t="inlineStr">
        <is>
          <t>사후송금(오픈어카운트, O/A) — 선적 후 30·60·90일</t>
        </is>
      </c>
      <c r="F22" s="9" t="inlineStr">
        <is>
          <t>LC_USANCE</t>
        </is>
      </c>
      <c r="G22" s="9" t="inlineStr">
        <is>
          <t>기한부 신용장(Usance L/C)</t>
        </is>
      </c>
      <c r="H22" s="9" t="inlineStr">
        <is>
          <t>서류 인수 후 만기</t>
        </is>
      </c>
    </row>
    <row r="23" ht="19.5" customHeight="1">
      <c r="A23" s="8" t="inlineStr">
        <is>
          <t>Open account 60 days</t>
        </is>
      </c>
      <c r="B23" s="8" t="inlineStr">
        <is>
          <t>OPEN ACCOUNT 60 DAYS</t>
        </is>
      </c>
      <c r="C23" s="8" t="inlineStr">
        <is>
          <t>OA</t>
        </is>
      </c>
      <c r="D23" s="9" t="inlineStr">
        <is>
          <t>사후송금(오픈어카운트, O/A) — 선적 후 30·60·90일</t>
        </is>
      </c>
      <c r="F23" s="9" t="inlineStr">
        <is>
          <t>확인필요</t>
        </is>
      </c>
      <c r="G23" s="9" t="inlineStr">
        <is>
          <t>판단이 어려운 표기(임시) — 사람이 확인한 뒤 코드로 바꿉니다</t>
        </is>
      </c>
      <c r="H23" s="9" t="inlineStr">
        <is>
          <t>—</t>
        </is>
      </c>
    </row>
    <row r="24" ht="19.5" customHeight="1">
      <c r="A24" s="8" t="inlineStr">
        <is>
          <t>O/A 90</t>
        </is>
      </c>
      <c r="B24" s="8" t="inlineStr">
        <is>
          <t>O/A 90</t>
        </is>
      </c>
      <c r="C24" s="8" t="inlineStr">
        <is>
          <t>OA</t>
        </is>
      </c>
      <c r="D24" s="9" t="inlineStr">
        <is>
          <t>사후송금(오픈어카운트, O/A) — 선적 후 30·60·90일</t>
        </is>
      </c>
    </row>
    <row r="25" ht="19.5" customHeight="1">
      <c r="A25" s="8" t="inlineStr">
        <is>
          <t>OA90</t>
        </is>
      </c>
      <c r="B25" s="8" t="inlineStr">
        <is>
          <t>OA90</t>
        </is>
      </c>
      <c r="C25" s="8" t="inlineStr">
        <is>
          <t>OA</t>
        </is>
      </c>
      <c r="D25" s="9" t="inlineStr">
        <is>
          <t>사후송금(오픈어카운트, O/A) — 선적 후 30·60·90일</t>
        </is>
      </c>
      <c r="F25" s="5" t="inlineStr">
        <is>
          <t>buyers 시트 가져오기 → 표(tbl_buyers) 만들기</t>
        </is>
      </c>
      <c r="G25" s="6" t="n"/>
      <c r="H25" s="7" t="n"/>
    </row>
    <row r="26" ht="19.5" customHeight="1">
      <c r="A26" s="8" t="inlineStr">
        <is>
          <t>OA 90 days</t>
        </is>
      </c>
      <c r="B26" s="8" t="inlineStr">
        <is>
          <t>OA 90 DAYS</t>
        </is>
      </c>
      <c r="C26" s="8" t="inlineStr">
        <is>
          <t>OA</t>
        </is>
      </c>
      <c r="D26" s="9" t="inlineStr">
        <is>
          <t>사후송금(오픈어카운트, O/A) — 선적 후 30·60·90일</t>
        </is>
      </c>
      <c r="F26" s="10" t="inlineStr">
        <is>
          <t>1. d1_buyers_raw.xlsx와 이 파일을 둘 다 엽니다.</t>
        </is>
      </c>
      <c r="G26" s="6" t="n"/>
      <c r="H26" s="7" t="n"/>
    </row>
    <row r="27" ht="19.5" customHeight="1">
      <c r="A27" s="8" t="inlineStr">
        <is>
          <t>T/T 90 days after B/L</t>
        </is>
      </c>
      <c r="B27" s="8" t="inlineStr">
        <is>
          <t>T/T 90 DAYS AFTER B/L</t>
        </is>
      </c>
      <c r="C27" s="8" t="inlineStr">
        <is>
          <t>OA</t>
        </is>
      </c>
      <c r="D27" s="9" t="inlineStr">
        <is>
          <t>사후송금(오픈어카운트, O/A) — 선적 후 30·60·90일</t>
        </is>
      </c>
      <c r="F27" s="10" t="inlineStr">
        <is>
          <t>2. d1_buyers_raw의 buyers 시트 탭을 마우스 오른쪽 버튼으로 클릭 → [이동/복사]를 누릅니다.</t>
        </is>
      </c>
      <c r="G27" s="6" t="n"/>
      <c r="H27" s="7" t="n"/>
    </row>
    <row r="28" ht="34" customHeight="1">
      <c r="A28" s="8" t="inlineStr">
        <is>
          <t>Net 30 days after receipt of invoice</t>
        </is>
      </c>
      <c r="B28" s="8" t="inlineStr">
        <is>
          <t>NET 30 DAYS AFTER RECEIPT OF INVOICE</t>
        </is>
      </c>
      <c r="C28" s="8" t="inlineStr">
        <is>
          <t>OA</t>
        </is>
      </c>
      <c r="D28" s="9" t="inlineStr">
        <is>
          <t>사후송금(오픈어카운트, O/A) — 선적 후 30·60·90일 · 공공(UN 등) 검수·송장 수령 후 30일 = O/A</t>
        </is>
      </c>
      <c r="F28" s="10" t="inlineStr">
        <is>
          <t>3. '대상 통합 문서'에서 이 파일을 고르고, '(끝으로 이동)'을 고른 뒤 '복사본 만들기'에 체크 → [확인].</t>
        </is>
      </c>
      <c r="G28" s="6" t="n"/>
      <c r="H28" s="7" t="n"/>
    </row>
    <row r="29" ht="19.5" customHeight="1">
      <c r="A29" s="8" t="inlineStr">
        <is>
          <t>D/A 60</t>
        </is>
      </c>
      <c r="B29" s="8" t="inlineStr">
        <is>
          <t>D/A 60</t>
        </is>
      </c>
      <c r="C29" s="8" t="inlineStr">
        <is>
          <t>DA</t>
        </is>
      </c>
      <c r="D29" s="9" t="inlineStr">
        <is>
          <t>인수인도조건 추심(D/A) — 어음 인수 후 만기</t>
        </is>
      </c>
      <c r="F29" s="10" t="inlineStr">
        <is>
          <t>4. 복사된 buyers 시트의 표 안 아무 칸을 클릭하고 Ctrl+T → '머리글 포함' 체크 → [확인].</t>
        </is>
      </c>
      <c r="G29" s="6" t="n"/>
      <c r="H29" s="7" t="n"/>
    </row>
    <row r="30" ht="19.5" customHeight="1">
      <c r="A30" s="8" t="inlineStr">
        <is>
          <t>DA60</t>
        </is>
      </c>
      <c r="B30" s="8" t="inlineStr">
        <is>
          <t>DA60</t>
        </is>
      </c>
      <c r="C30" s="8" t="inlineStr">
        <is>
          <t>DA</t>
        </is>
      </c>
      <c r="D30" s="9" t="inlineStr">
        <is>
          <t>인수인도조건 추심(D/A) — 어음 인수 후 만기</t>
        </is>
      </c>
      <c r="F30" s="10" t="inlineStr">
        <is>
          <t>5. [테이블 디자인] 탭 → 왼쪽 '표 이름' 칸에 tbl_buyers 입력 → Enter.</t>
        </is>
      </c>
      <c r="G30" s="6" t="n"/>
      <c r="H30" s="7" t="n"/>
    </row>
    <row r="31" ht="19.5" customHeight="1">
      <c r="A31" s="8" t="inlineStr">
        <is>
          <t>D/A 60 days</t>
        </is>
      </c>
      <c r="B31" s="8" t="inlineStr">
        <is>
          <t>D/A 60 DAYS</t>
        </is>
      </c>
      <c r="C31" s="8" t="inlineStr">
        <is>
          <t>DA</t>
        </is>
      </c>
      <c r="D31" s="9" t="inlineStr">
        <is>
          <t>인수인도조건 추심(D/A) — 어음 인수 후 만기</t>
        </is>
      </c>
      <c r="F31" s="10" t="inlineStr">
        <is>
          <t>6. 표 오른쪽 첫 빈 열의 1행에 아래 열 이름을 입력하면 표가 늘어납니다. 그 아래 첫 칸에 수식을 붙여 넣으면 열 전체가 채워집니다.</t>
        </is>
      </c>
      <c r="G31" s="6" t="n"/>
      <c r="H31" s="7" t="n"/>
    </row>
    <row r="32" ht="19.5" customHeight="1">
      <c r="A32" s="8" t="inlineStr">
        <is>
          <t>D/A 60 days after B/L</t>
        </is>
      </c>
      <c r="B32" s="8" t="inlineStr">
        <is>
          <t>D/A 60 DAYS AFTER B/L</t>
        </is>
      </c>
      <c r="C32" s="8" t="inlineStr">
        <is>
          <t>DA</t>
        </is>
      </c>
      <c r="D32" s="9" t="inlineStr">
        <is>
          <t>인수인도조건 추심(D/A) — 어음 인수 후 만기</t>
        </is>
      </c>
    </row>
    <row r="33" ht="19.5" customHeight="1">
      <c r="A33" s="8" t="inlineStr">
        <is>
          <t>D/A 90</t>
        </is>
      </c>
      <c r="B33" s="8" t="inlineStr">
        <is>
          <t>D/A 90</t>
        </is>
      </c>
      <c r="C33" s="8" t="inlineStr">
        <is>
          <t>DA</t>
        </is>
      </c>
      <c r="D33" s="9" t="inlineStr">
        <is>
          <t>인수인도조건 추심(D/A) — 어음 인수 후 만기</t>
        </is>
      </c>
      <c r="F33" s="5" t="inlineStr">
        <is>
          <t>buyers 표에 만들 새 열 4개 (이 순서대로: dpd_num을 먼저 만들어야 뒤의 두 열이 계산됩니다)</t>
        </is>
      </c>
      <c r="G33" s="6" t="n"/>
      <c r="H33" s="7" t="n"/>
    </row>
    <row r="34" ht="19.5" customHeight="1">
      <c r="A34" s="8" t="inlineStr">
        <is>
          <t>DA90</t>
        </is>
      </c>
      <c r="B34" s="8" t="inlineStr">
        <is>
          <t>DA90</t>
        </is>
      </c>
      <c r="C34" s="8" t="inlineStr">
        <is>
          <t>DA</t>
        </is>
      </c>
      <c r="D34" s="9" t="inlineStr">
        <is>
          <t>인수인도조건 추심(D/A) — 어음 인수 후 만기</t>
        </is>
      </c>
      <c r="F34" s="4" t="inlineStr">
        <is>
          <t>열 이름</t>
        </is>
      </c>
      <c r="G34" s="4" t="inlineStr">
        <is>
          <t>수식(복사해서 쓰기)</t>
        </is>
      </c>
      <c r="H34" s="4" t="inlineStr">
        <is>
          <t>무엇을 하나</t>
        </is>
      </c>
    </row>
    <row r="35" ht="34" customHeight="1">
      <c r="A35" s="8" t="inlineStr">
        <is>
          <t>D/A 90 days</t>
        </is>
      </c>
      <c r="B35" s="8" t="inlineStr">
        <is>
          <t>D/A 90 DAYS</t>
        </is>
      </c>
      <c r="C35" s="8" t="inlineStr">
        <is>
          <t>DA</t>
        </is>
      </c>
      <c r="D35" s="9" t="inlineStr">
        <is>
          <t>인수인도조건 추심(D/A) — 어음 인수 후 만기</t>
        </is>
      </c>
      <c r="F35" s="5" t="inlineStr">
        <is>
          <t>payment_method</t>
        </is>
      </c>
      <c r="G35" s="10" t="inlineStr">
        <is>
          <t>=XLOOKUP(UPPER(TRIM([@payment_terms_raw])),tbl_codes[raw_upper],tbl_codes[payment_method],"미분류")</t>
        </is>
      </c>
      <c r="H35" s="9" t="inlineStr">
        <is>
          <t>결제조건 원문을 이 표에서 찾아 정본 코드로 바꿉니다. 표에 없으면 '미분류'.</t>
        </is>
      </c>
    </row>
    <row r="36" ht="34" customHeight="1">
      <c r="A36" s="8" t="inlineStr">
        <is>
          <t>D/P</t>
        </is>
      </c>
      <c r="B36" s="8" t="inlineStr">
        <is>
          <t>D/P</t>
        </is>
      </c>
      <c r="C36" s="8" t="inlineStr">
        <is>
          <t>DP</t>
        </is>
      </c>
      <c r="D36" s="9" t="inlineStr">
        <is>
          <t>지급인도조건 추심(D/P) — 대금을 내야 서류 인도</t>
        </is>
      </c>
      <c r="F36" s="9" t="inlineStr">
        <is>
          <t>payment_method (XLOOKUP이 없는 엑셀 2016·2019)</t>
        </is>
      </c>
      <c r="G36" s="10" t="inlineStr">
        <is>
          <t>=IFERROR(INDEX(tbl_codes[payment_method],MATCH(UPPER(TRIM([@payment_terms_raw])),tbl_codes[raw_upper],0)),"미분류")</t>
        </is>
      </c>
      <c r="H36" s="9" t="inlineStr">
        <is>
          <t>위 수식과 결과가 같습니다(INDEX·MATCH).</t>
        </is>
      </c>
    </row>
    <row r="37" ht="34" customHeight="1">
      <c r="A37" s="8" t="inlineStr">
        <is>
          <t>D/P at sight</t>
        </is>
      </c>
      <c r="B37" s="8" t="inlineStr">
        <is>
          <t>D/P AT SIGHT</t>
        </is>
      </c>
      <c r="C37" s="8" t="inlineStr">
        <is>
          <t>DP</t>
        </is>
      </c>
      <c r="D37" s="9" t="inlineStr">
        <is>
          <t>지급인도조건 추심(D/P) — 대금을 내야 서류 인도</t>
        </is>
      </c>
      <c r="F37" s="9" t="inlineStr">
        <is>
          <t>payment_method (VLOOKUP으로)</t>
        </is>
      </c>
      <c r="G37" s="10" t="inlineStr">
        <is>
          <t>=IFERROR(VLOOKUP(UPPER(TRIM([@payment_terms_raw])),tbl_codes[[raw_upper]:[payment_method]],2,FALSE),"미분류")</t>
        </is>
      </c>
      <c r="H37" s="9" t="inlineStr">
        <is>
          <t>위 수식과 결과가 같습니다(VLOOKUP).</t>
        </is>
      </c>
    </row>
    <row r="38" ht="34" customHeight="1">
      <c r="A38" s="8" t="inlineStr">
        <is>
          <t>DP sight</t>
        </is>
      </c>
      <c r="B38" s="8" t="inlineStr">
        <is>
          <t>DP SIGHT</t>
        </is>
      </c>
      <c r="C38" s="8" t="inlineStr">
        <is>
          <t>DP</t>
        </is>
      </c>
      <c r="D38" s="9" t="inlineStr">
        <is>
          <t>지급인도조건 추심(D/P) — 대금을 내야 서류 인도</t>
        </is>
      </c>
      <c r="F38" s="5" t="inlineStr">
        <is>
          <t>dpd_num</t>
        </is>
      </c>
      <c r="G38" s="10" t="inlineStr">
        <is>
          <t>=IFERROR(--[@max_dpd_days],"")</t>
        </is>
      </c>
      <c r="H38" s="9" t="inlineStr">
        <is>
          <t>연체일(max_dpd_days)을 숫자로 바꿉니다. 숫자가 아니면 빈칸.</t>
        </is>
      </c>
    </row>
    <row r="39" ht="48.5" customHeight="1">
      <c r="A39" s="8" t="inlineStr">
        <is>
          <t>L/C at sight</t>
        </is>
      </c>
      <c r="B39" s="8" t="inlineStr">
        <is>
          <t>L/C AT SIGHT</t>
        </is>
      </c>
      <c r="C39" s="8" t="inlineStr">
        <is>
          <t>LC_SIGHT</t>
        </is>
      </c>
      <c r="D39" s="9" t="inlineStr">
        <is>
          <t>일람불 신용장(Sight L/C) — 서류 심사 후 바로</t>
        </is>
      </c>
      <c r="F39" s="5" t="inlineStr">
        <is>
          <t>aging_bucket</t>
        </is>
      </c>
      <c r="G39" s="10" t="inlineStr">
        <is>
          <t>=IF([@dpd_num]="","확인필요",IF([@dpd_num]&lt;=0,"Current",IF([@dpd_num]&lt;=30,"1-30",IF([@dpd_num]&lt;=60,"31-60",IF([@dpd_num]&lt;=90,"61-90","91+")))))</t>
        </is>
      </c>
      <c r="H39" s="9" t="inlineStr">
        <is>
          <t>최악 연체일 기준 구간: Current(0 이하) · 1-30 · 31-60 · 61-90 · 91+. dpd_num이 빈칸이면 '확인필요'.</t>
        </is>
      </c>
    </row>
    <row r="40" ht="34" customHeight="1">
      <c r="A40" s="8" t="inlineStr">
        <is>
          <t>LC at sight</t>
        </is>
      </c>
      <c r="B40" s="8" t="inlineStr">
        <is>
          <t>LC AT SIGHT</t>
        </is>
      </c>
      <c r="C40" s="8" t="inlineStr">
        <is>
          <t>LC_SIGHT</t>
        </is>
      </c>
      <c r="D40" s="9" t="inlineStr">
        <is>
          <t>일람불 신용장(Sight L/C) — 서류 심사 후 바로</t>
        </is>
      </c>
      <c r="F40" s="5" t="inlineStr">
        <is>
          <t>is_overdue</t>
        </is>
      </c>
      <c r="G40" s="10" t="inlineStr">
        <is>
          <t>=IF([@dpd_num]="","",--([@dpd_num]&gt;0))</t>
        </is>
      </c>
      <c r="H40" s="9" t="inlineStr">
        <is>
          <t>연체 바이어면 1, 아니면 0. dpd_num이 빈칸이면 빈칸(판정 안 함).</t>
        </is>
      </c>
    </row>
    <row r="41" ht="31" customHeight="1">
      <c r="A41" s="8" t="inlineStr">
        <is>
          <t>Sight L/C</t>
        </is>
      </c>
      <c r="B41" s="8" t="inlineStr">
        <is>
          <t>SIGHT L/C</t>
        </is>
      </c>
      <c r="C41" s="8" t="inlineStr">
        <is>
          <t>LC_SIGHT</t>
        </is>
      </c>
      <c r="D41" s="9" t="inlineStr">
        <is>
          <t>일람불 신용장(Sight L/C) — 서류 심사 후 바로</t>
        </is>
      </c>
      <c r="F41" s="11" t="inlineStr">
        <is>
          <t>수식은 과정 사이트 Day1 페이지에서 복사하는 것이 가장 쉽습니다. 여기서 복사할 때는 수식 칸을 클릭 → 위쪽 수식 입력줄의 글자를 모두 선택해 Ctrl+C → Esc → 붙일 칸을 클릭하고 Ctrl+V. (칸째로 복사하면 글자로 붙어 계산되지 않습니다.)</t>
        </is>
      </c>
    </row>
    <row r="42" ht="19.5" customHeight="1">
      <c r="A42" s="8" t="inlineStr">
        <is>
          <t>Irrevocable L/C at sight</t>
        </is>
      </c>
      <c r="B42" s="8" t="inlineStr">
        <is>
          <t>IRREVOCABLE L/C AT SIGHT</t>
        </is>
      </c>
      <c r="C42" s="8" t="inlineStr">
        <is>
          <t>LC_SIGHT</t>
        </is>
      </c>
      <c r="D42" s="9" t="inlineStr">
        <is>
          <t>일람불 신용장(Sight L/C) — 서류 심사 후 바로</t>
        </is>
      </c>
    </row>
    <row r="43" ht="19.5" customHeight="1">
      <c r="A43" s="8" t="inlineStr">
        <is>
          <t>Confirmed L/C at sight</t>
        </is>
      </c>
      <c r="B43" s="8" t="inlineStr">
        <is>
          <t>CONFIRMED L/C AT SIGHT</t>
        </is>
      </c>
      <c r="C43" s="8" t="inlineStr">
        <is>
          <t>LC_SIGHT</t>
        </is>
      </c>
      <c r="D43" s="9" t="inlineStr">
        <is>
          <t>일람불 신용장(Sight L/C) — 서류 심사 후 바로</t>
        </is>
      </c>
    </row>
    <row r="44" ht="19.5" customHeight="1">
      <c r="A44" s="8" t="inlineStr">
        <is>
          <t>L/C 60 days</t>
        </is>
      </c>
      <c r="B44" s="8" t="inlineStr">
        <is>
          <t>L/C 60 DAYS</t>
        </is>
      </c>
      <c r="C44" s="8" t="inlineStr">
        <is>
          <t>LC_USANCE</t>
        </is>
      </c>
      <c r="D44" s="9" t="inlineStr">
        <is>
          <t>기한부 신용장(Usance L/C) — 서류 인수 후 만기</t>
        </is>
      </c>
    </row>
    <row r="45" ht="19.5" customHeight="1">
      <c r="A45" s="8" t="inlineStr">
        <is>
          <t>LC 60 days usance</t>
        </is>
      </c>
      <c r="B45" s="8" t="inlineStr">
        <is>
          <t>LC 60 DAYS USANCE</t>
        </is>
      </c>
      <c r="C45" s="8" t="inlineStr">
        <is>
          <t>LC_USANCE</t>
        </is>
      </c>
      <c r="D45" s="9" t="inlineStr">
        <is>
          <t>기한부 신용장(Usance L/C) — 서류 인수 후 만기</t>
        </is>
      </c>
    </row>
    <row r="46" ht="19.5" customHeight="1">
      <c r="A46" s="8" t="inlineStr">
        <is>
          <t>L/C 90 days</t>
        </is>
      </c>
      <c r="B46" s="8" t="inlineStr">
        <is>
          <t>L/C 90 DAYS</t>
        </is>
      </c>
      <c r="C46" s="8" t="inlineStr">
        <is>
          <t>LC_USANCE</t>
        </is>
      </c>
      <c r="D46" s="9" t="inlineStr">
        <is>
          <t>기한부 신용장(Usance L/C) — 서류 인수 후 만기</t>
        </is>
      </c>
    </row>
    <row r="47" ht="19.5" customHeight="1">
      <c r="A47" s="8" t="inlineStr">
        <is>
          <t>Usance L/C 90 days</t>
        </is>
      </c>
      <c r="B47" s="8" t="inlineStr">
        <is>
          <t>USANCE L/C 90 DAYS</t>
        </is>
      </c>
      <c r="C47" s="8" t="inlineStr">
        <is>
          <t>LC_USANCE</t>
        </is>
      </c>
      <c r="D47" s="9" t="inlineStr">
        <is>
          <t>기한부 신용장(Usance L/C) — 서류 인수 후 만기</t>
        </is>
      </c>
    </row>
  </sheetData>
  <mergeCells count="19">
    <mergeCell ref="F5:H5"/>
    <mergeCell ref="F33:H33"/>
    <mergeCell ref="F41:H41"/>
    <mergeCell ref="F8:H8"/>
    <mergeCell ref="F26:H26"/>
    <mergeCell ref="F28:H28"/>
    <mergeCell ref="F31:H31"/>
    <mergeCell ref="F27:H27"/>
    <mergeCell ref="F9:H9"/>
    <mergeCell ref="F14:H14"/>
    <mergeCell ref="F7:H7"/>
    <mergeCell ref="F29:H29"/>
    <mergeCell ref="F11:H11"/>
    <mergeCell ref="F25:H25"/>
    <mergeCell ref="F10:H10"/>
    <mergeCell ref="F6:H6"/>
    <mergeCell ref="A2:D2"/>
    <mergeCell ref="F30:H30"/>
    <mergeCell ref="F12:H12"/>
  </mergeCells>
  <dataValidations count="1">
    <dataValidation sqref="C6:C247" showDropDown="0" showInputMessage="1" showErrorMessage="1" allowBlank="1" errorTitle="목록에서 고르기" error="목록(▼)에서 골라 주세요." promptTitle="payment_method" prompt="정본 코드 7개 중 하나를 고릅니다. 판단이 어려우면 '확인필요'를 고르고 옆 사람·강사에게 묻습니다." type="list" errorStyle="stop">
      <formula1>"TT_ADV,TT_SPLIT_30_70,OA,DA,DP,LC_SIGHT,LC_USANCE,확인필요"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F5FD1"/>
    <outlinePr summaryBelow="1" summaryRight="1"/>
    <pageSetUpPr fitToPage="1"/>
  </sheetPr>
  <dimension ref="A1:H70"/>
  <sheetViews>
    <sheetView tabSelected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2" customWidth="1" min="3" max="3"/>
    <col width="17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 ht="24" customHeight="1">
      <c r="A1" s="1" t="inlineStr">
        <is>
          <t>01_보고서신호 · AI가 찾은 위험 신호를 원문으로 확인하기 (Lab1)</t>
        </is>
      </c>
    </row>
    <row r="2" ht="35" customHeight="1">
      <c r="A2" s="2" t="inlineStr">
        <is>
          <t>AI(P1-1)가 만든 위험 신호 표를 복사해 B열 '신호' 첫 빈칸에 붙여 넣고, A열에서 보고서를 고르세요. 원문 인용을 2개 이상 골라 보고서 파일에서 Ctrl+F로 찾은 뒤 '검증'에서 ✔(찾음) 또는 ✘(못 찾음)를 고릅니다. ✘면 P1-1c로 다시 묻고, 그 결과는 '메모'(H열)에 적습니다.</t>
        </is>
      </c>
    </row>
    <row r="3">
      <c r="A3" s="3" t="inlineStr">
        <is>
          <t>노란 칸 = 입력(AI 표 붙여넣기) · 회색 줄 = 형식 예시 · 저장: [파일] → [다른 이름으로 저장] → d1_end_eda__T조-번호.xlsx</t>
        </is>
      </c>
    </row>
    <row r="4" ht="44" customHeight="1">
      <c r="A4" s="11" t="inlineStr">
        <is>
          <t>붙여넣기 요령: P1-1의 위험 신호 표는 5열(신호 · 원문 인용 · 위치 · 심각도 · 확신도)이라 B~F열에 그대로 들어갑니다. 표의 첫 데이터 줄부터 마지막 줄까지(머리글 빼고) 마우스로 끌어 선택 → Ctrl+C → B열 첫 빈칸 클릭 → Ctrl+V. AI가 번호·유형 열을 따로 만들어 칸이 밀렸을 때만 「표를 신호 · 원문 인용 · 위치 · 심각도 · 확신도 5열로만 다시 써라. 번호와 유형은 신호 칸 맨 앞에 넣어라.」를 보낸 뒤 다시 붙입니다. A열은 첫 칸에서 ▼로 고른 뒤 그 칸부터 표 끝까지 A열을 선택하고 Ctrl+D로 채웁니다(채우기 핸들로 끌면 FY2024 → FY2025처럼 숫자가 바뀝니다).</t>
        </is>
      </c>
    </row>
    <row r="5" ht="34" customHeight="1">
      <c r="A5" s="4" t="inlineStr">
        <is>
          <t>보고서</t>
        </is>
      </c>
      <c r="B5" s="4" t="inlineStr">
        <is>
          <t>신호</t>
        </is>
      </c>
      <c r="C5" s="4" t="inlineStr">
        <is>
          <t>원문 인용</t>
        </is>
      </c>
      <c r="D5" s="4" t="inlineStr">
        <is>
          <t>위치</t>
        </is>
      </c>
      <c r="E5" s="4" t="inlineStr">
        <is>
          <t>심각도(상/중/하)</t>
        </is>
      </c>
      <c r="F5" s="4" t="inlineStr">
        <is>
          <t>AI 확신도</t>
        </is>
      </c>
      <c r="G5" s="4" t="inlineStr">
        <is>
          <t>검증 ✔/✘</t>
        </is>
      </c>
      <c r="H5" s="4" t="inlineStr">
        <is>
          <t>메모</t>
        </is>
      </c>
    </row>
    <row r="6" ht="31" customHeight="1">
      <c r="A6" s="12" t="inlineStr">
        <is>
          <t>예시 ▶ 슬라이드 23 형식(5필드)</t>
        </is>
      </c>
      <c r="B6" s="12" t="inlineStr">
        <is>
          <t>감사인의 계속기업 불확실성 언급</t>
        </is>
      </c>
      <c r="C6" s="12" t="inlineStr">
        <is>
          <t>"...substantial doubt..."</t>
        </is>
      </c>
      <c r="D6" s="12" t="inlineStr">
        <is>
          <t>Note 2</t>
        </is>
      </c>
      <c r="E6" s="13" t="inlineStr">
        <is>
          <t>상</t>
        </is>
      </c>
      <c r="F6" s="14" t="n">
        <v>0.9</v>
      </c>
      <c r="G6" s="13" t="inlineStr">
        <is>
          <t>✔</t>
        </is>
      </c>
      <c r="H6" s="12" t="inlineStr">
        <is>
          <t>형식 예시입니다 — 지우지 않아도 됩니다</t>
        </is>
      </c>
    </row>
    <row r="7">
      <c r="A7" s="15" t="n"/>
      <c r="B7" s="15" t="n"/>
      <c r="C7" s="15" t="n"/>
      <c r="D7" s="15" t="n"/>
      <c r="E7" s="16" t="n"/>
      <c r="F7" s="17" t="n"/>
      <c r="G7" s="16" t="n"/>
      <c r="H7" s="15" t="n"/>
    </row>
    <row r="8">
      <c r="A8" s="15" t="n"/>
      <c r="B8" s="15" t="n"/>
      <c r="C8" s="15" t="n"/>
      <c r="D8" s="15" t="n"/>
      <c r="E8" s="16" t="n"/>
      <c r="F8" s="17" t="n"/>
      <c r="G8" s="16" t="n"/>
      <c r="H8" s="15" t="n"/>
    </row>
    <row r="9">
      <c r="A9" s="15" t="n"/>
      <c r="B9" s="15" t="n"/>
      <c r="C9" s="15" t="n"/>
      <c r="D9" s="15" t="n"/>
      <c r="E9" s="16" t="n"/>
      <c r="F9" s="17" t="n"/>
      <c r="G9" s="16" t="n"/>
      <c r="H9" s="15" t="n"/>
    </row>
    <row r="10">
      <c r="A10" s="15" t="n"/>
      <c r="B10" s="15" t="n"/>
      <c r="C10" s="15" t="n"/>
      <c r="D10" s="15" t="n"/>
      <c r="E10" s="16" t="n"/>
      <c r="F10" s="17" t="n"/>
      <c r="G10" s="16" t="n"/>
      <c r="H10" s="15" t="n"/>
    </row>
    <row r="11">
      <c r="A11" s="15" t="n"/>
      <c r="B11" s="15" t="n"/>
      <c r="C11" s="15" t="n"/>
      <c r="D11" s="15" t="n"/>
      <c r="E11" s="16" t="n"/>
      <c r="F11" s="17" t="n"/>
      <c r="G11" s="16" t="n"/>
      <c r="H11" s="15" t="n"/>
    </row>
    <row r="12">
      <c r="A12" s="15" t="n"/>
      <c r="B12" s="15" t="n"/>
      <c r="C12" s="15" t="n"/>
      <c r="D12" s="15" t="n"/>
      <c r="E12" s="16" t="n"/>
      <c r="F12" s="17" t="n"/>
      <c r="G12" s="16" t="n"/>
      <c r="H12" s="15" t="n"/>
    </row>
    <row r="13">
      <c r="A13" s="15" t="n"/>
      <c r="B13" s="15" t="n"/>
      <c r="C13" s="15" t="n"/>
      <c r="D13" s="15" t="n"/>
      <c r="E13" s="16" t="n"/>
      <c r="F13" s="17" t="n"/>
      <c r="G13" s="16" t="n"/>
      <c r="H13" s="15" t="n"/>
    </row>
    <row r="14">
      <c r="A14" s="15" t="n"/>
      <c r="B14" s="15" t="n"/>
      <c r="C14" s="15" t="n"/>
      <c r="D14" s="15" t="n"/>
      <c r="E14" s="16" t="n"/>
      <c r="F14" s="17" t="n"/>
      <c r="G14" s="16" t="n"/>
      <c r="H14" s="15" t="n"/>
    </row>
    <row r="15">
      <c r="A15" s="15" t="n"/>
      <c r="B15" s="15" t="n"/>
      <c r="C15" s="15" t="n"/>
      <c r="D15" s="15" t="n"/>
      <c r="E15" s="16" t="n"/>
      <c r="F15" s="17" t="n"/>
      <c r="G15" s="16" t="n"/>
      <c r="H15" s="15" t="n"/>
    </row>
    <row r="16">
      <c r="A16" s="15" t="n"/>
      <c r="B16" s="15" t="n"/>
      <c r="C16" s="15" t="n"/>
      <c r="D16" s="15" t="n"/>
      <c r="E16" s="16" t="n"/>
      <c r="F16" s="17" t="n"/>
      <c r="G16" s="16" t="n"/>
      <c r="H16" s="15" t="n"/>
    </row>
    <row r="17">
      <c r="A17" s="15" t="n"/>
      <c r="B17" s="15" t="n"/>
      <c r="C17" s="15" t="n"/>
      <c r="D17" s="15" t="n"/>
      <c r="E17" s="16" t="n"/>
      <c r="F17" s="17" t="n"/>
      <c r="G17" s="16" t="n"/>
      <c r="H17" s="15" t="n"/>
    </row>
    <row r="18">
      <c r="A18" s="15" t="n"/>
      <c r="B18" s="15" t="n"/>
      <c r="C18" s="15" t="n"/>
      <c r="D18" s="15" t="n"/>
      <c r="E18" s="16" t="n"/>
      <c r="F18" s="17" t="n"/>
      <c r="G18" s="16" t="n"/>
      <c r="H18" s="15" t="n"/>
    </row>
    <row r="19">
      <c r="A19" s="15" t="n"/>
      <c r="B19" s="15" t="n"/>
      <c r="C19" s="15" t="n"/>
      <c r="D19" s="15" t="n"/>
      <c r="E19" s="16" t="n"/>
      <c r="F19" s="17" t="n"/>
      <c r="G19" s="16" t="n"/>
      <c r="H19" s="15" t="n"/>
    </row>
    <row r="20">
      <c r="A20" s="15" t="n"/>
      <c r="B20" s="15" t="n"/>
      <c r="C20" s="15" t="n"/>
      <c r="D20" s="15" t="n"/>
      <c r="E20" s="16" t="n"/>
      <c r="F20" s="17" t="n"/>
      <c r="G20" s="16" t="n"/>
      <c r="H20" s="15" t="n"/>
    </row>
    <row r="21">
      <c r="A21" s="15" t="n"/>
      <c r="B21" s="15" t="n"/>
      <c r="C21" s="15" t="n"/>
      <c r="D21" s="15" t="n"/>
      <c r="E21" s="16" t="n"/>
      <c r="F21" s="17" t="n"/>
      <c r="G21" s="16" t="n"/>
      <c r="H21" s="15" t="n"/>
    </row>
    <row r="22">
      <c r="A22" s="15" t="n"/>
      <c r="B22" s="15" t="n"/>
      <c r="C22" s="15" t="n"/>
      <c r="D22" s="15" t="n"/>
      <c r="E22" s="16" t="n"/>
      <c r="F22" s="17" t="n"/>
      <c r="G22" s="16" t="n"/>
      <c r="H22" s="15" t="n"/>
    </row>
    <row r="23">
      <c r="A23" s="15" t="n"/>
      <c r="B23" s="15" t="n"/>
      <c r="C23" s="15" t="n"/>
      <c r="D23" s="15" t="n"/>
      <c r="E23" s="16" t="n"/>
      <c r="F23" s="17" t="n"/>
      <c r="G23" s="16" t="n"/>
      <c r="H23" s="15" t="n"/>
    </row>
    <row r="24">
      <c r="A24" s="15" t="n"/>
      <c r="B24" s="15" t="n"/>
      <c r="C24" s="15" t="n"/>
      <c r="D24" s="15" t="n"/>
      <c r="E24" s="16" t="n"/>
      <c r="F24" s="17" t="n"/>
      <c r="G24" s="16" t="n"/>
      <c r="H24" s="15" t="n"/>
    </row>
    <row r="25">
      <c r="A25" s="15" t="n"/>
      <c r="B25" s="15" t="n"/>
      <c r="C25" s="15" t="n"/>
      <c r="D25" s="15" t="n"/>
      <c r="E25" s="16" t="n"/>
      <c r="F25" s="17" t="n"/>
      <c r="G25" s="16" t="n"/>
      <c r="H25" s="15" t="n"/>
    </row>
    <row r="26">
      <c r="A26" s="15" t="n"/>
      <c r="B26" s="15" t="n"/>
      <c r="C26" s="15" t="n"/>
      <c r="D26" s="15" t="n"/>
      <c r="E26" s="16" t="n"/>
      <c r="F26" s="17" t="n"/>
      <c r="G26" s="16" t="n"/>
      <c r="H26" s="15" t="n"/>
    </row>
    <row r="27">
      <c r="A27" s="15" t="n"/>
      <c r="B27" s="15" t="n"/>
      <c r="C27" s="15" t="n"/>
      <c r="D27" s="15" t="n"/>
      <c r="E27" s="16" t="n"/>
      <c r="F27" s="17" t="n"/>
      <c r="G27" s="16" t="n"/>
      <c r="H27" s="15" t="n"/>
    </row>
    <row r="28">
      <c r="A28" s="15" t="n"/>
      <c r="B28" s="15" t="n"/>
      <c r="C28" s="15" t="n"/>
      <c r="D28" s="15" t="n"/>
      <c r="E28" s="16" t="n"/>
      <c r="F28" s="17" t="n"/>
      <c r="G28" s="16" t="n"/>
      <c r="H28" s="15" t="n"/>
    </row>
    <row r="29">
      <c r="A29" s="15" t="n"/>
      <c r="B29" s="15" t="n"/>
      <c r="C29" s="15" t="n"/>
      <c r="D29" s="15" t="n"/>
      <c r="E29" s="16" t="n"/>
      <c r="F29" s="17" t="n"/>
      <c r="G29" s="16" t="n"/>
      <c r="H29" s="15" t="n"/>
    </row>
    <row r="30">
      <c r="A30" s="15" t="n"/>
      <c r="B30" s="15" t="n"/>
      <c r="C30" s="15" t="n"/>
      <c r="D30" s="15" t="n"/>
      <c r="E30" s="16" t="n"/>
      <c r="F30" s="17" t="n"/>
      <c r="G30" s="16" t="n"/>
      <c r="H30" s="15" t="n"/>
    </row>
    <row r="31">
      <c r="A31" s="15" t="n"/>
      <c r="B31" s="15" t="n"/>
      <c r="C31" s="15" t="n"/>
      <c r="D31" s="15" t="n"/>
      <c r="E31" s="16" t="n"/>
      <c r="F31" s="17" t="n"/>
      <c r="G31" s="16" t="n"/>
      <c r="H31" s="15" t="n"/>
    </row>
    <row r="32">
      <c r="A32" s="15" t="n"/>
      <c r="B32" s="15" t="n"/>
      <c r="C32" s="15" t="n"/>
      <c r="D32" s="15" t="n"/>
      <c r="E32" s="16" t="n"/>
      <c r="F32" s="17" t="n"/>
      <c r="G32" s="16" t="n"/>
      <c r="H32" s="15" t="n"/>
    </row>
    <row r="33">
      <c r="A33" s="15" t="n"/>
      <c r="B33" s="15" t="n"/>
      <c r="C33" s="15" t="n"/>
      <c r="D33" s="15" t="n"/>
      <c r="E33" s="16" t="n"/>
      <c r="F33" s="17" t="n"/>
      <c r="G33" s="16" t="n"/>
      <c r="H33" s="15" t="n"/>
    </row>
    <row r="34">
      <c r="A34" s="15" t="n"/>
      <c r="B34" s="15" t="n"/>
      <c r="C34" s="15" t="n"/>
      <c r="D34" s="15" t="n"/>
      <c r="E34" s="16" t="n"/>
      <c r="F34" s="17" t="n"/>
      <c r="G34" s="16" t="n"/>
      <c r="H34" s="15" t="n"/>
    </row>
    <row r="35">
      <c r="A35" s="15" t="n"/>
      <c r="B35" s="15" t="n"/>
      <c r="C35" s="15" t="n"/>
      <c r="D35" s="15" t="n"/>
      <c r="E35" s="16" t="n"/>
      <c r="F35" s="17" t="n"/>
      <c r="G35" s="16" t="n"/>
      <c r="H35" s="15" t="n"/>
    </row>
    <row r="36">
      <c r="A36" s="15" t="n"/>
      <c r="B36" s="15" t="n"/>
      <c r="C36" s="15" t="n"/>
      <c r="D36" s="15" t="n"/>
      <c r="E36" s="16" t="n"/>
      <c r="F36" s="17" t="n"/>
      <c r="G36" s="16" t="n"/>
      <c r="H36" s="15" t="n"/>
    </row>
    <row r="38">
      <c r="A38" s="18" t="inlineStr">
        <is>
          <t>AI 요약 · 내 결론 3줄 (선택) — 근거 신호를 같이 적습니다</t>
        </is>
      </c>
    </row>
    <row r="39" ht="48.5" customHeight="1">
      <c r="A39" s="5" t="inlineStr">
        <is>
          <t>1 결론(O/A 60일 신규 선적: 예 / 조건부 / 아니오)</t>
        </is>
      </c>
      <c r="B39" s="15" t="n"/>
      <c r="C39" s="6" t="n"/>
      <c r="D39" s="6" t="n"/>
      <c r="E39" s="6" t="n"/>
      <c r="F39" s="6" t="n"/>
      <c r="G39" s="6" t="n"/>
      <c r="H39" s="7" t="n"/>
    </row>
    <row r="40" ht="34" customHeight="1">
      <c r="A40" s="5" t="inlineStr">
        <is>
          <t>2 추가로 확인할 자료</t>
        </is>
      </c>
      <c r="B40" s="15" t="n"/>
      <c r="C40" s="6" t="n"/>
      <c r="D40" s="6" t="n"/>
      <c r="E40" s="6" t="n"/>
      <c r="F40" s="6" t="n"/>
      <c r="G40" s="6" t="n"/>
      <c r="H40" s="7" t="n"/>
    </row>
    <row r="41" ht="34" customHeight="1">
      <c r="A41" s="5" t="inlineStr">
        <is>
          <t>3 이 판단의 한계</t>
        </is>
      </c>
      <c r="B41" s="15" t="n"/>
      <c r="C41" s="6" t="n"/>
      <c r="D41" s="6" t="n"/>
      <c r="E41" s="6" t="n"/>
      <c r="F41" s="6" t="n"/>
      <c r="G41" s="6" t="n"/>
      <c r="H41" s="7" t="n"/>
    </row>
    <row r="43">
      <c r="A43" s="18" t="inlineStr">
        <is>
          <t>(Standard) Plug Power 두 시점 비교 (경고 → 해소) — P1-1b · 교훈: 경고 ≠ 부도 · P1-7로 AI 주장 4단계 판정</t>
        </is>
      </c>
    </row>
    <row r="44">
      <c r="A44" s="5" t="inlineStr">
        <is>
          <t>① 계속기업 문구 상태 — 문서마다 하나 고르고, 근거 문장을 원문 그대로 붙입니다</t>
        </is>
      </c>
      <c r="B44" s="6" t="n"/>
      <c r="C44" s="6" t="n"/>
      <c r="D44" s="6" t="n"/>
      <c r="E44" s="6" t="n"/>
      <c r="F44" s="6" t="n"/>
      <c r="G44" s="6" t="n"/>
      <c r="H44" s="7" t="n"/>
    </row>
    <row r="45">
      <c r="A45" s="4" t="inlineStr">
        <is>
          <t>문서</t>
        </is>
      </c>
      <c r="B45" s="4" t="inlineStr">
        <is>
          <t>상태</t>
        </is>
      </c>
      <c r="C45" s="4" t="inlineStr">
        <is>
          <t>근거(원문 인용)</t>
        </is>
      </c>
      <c r="D45" s="4" t="inlineStr">
        <is>
          <t>위치</t>
        </is>
      </c>
      <c r="E45" s="4" t="inlineStr">
        <is>
          <t>메모</t>
        </is>
      </c>
      <c r="F45" s="6" t="n"/>
      <c r="G45" s="6" t="n"/>
      <c r="H45" s="7" t="n"/>
    </row>
    <row r="46" ht="48.5" customHeight="1">
      <c r="A46" s="9" t="inlineStr">
        <is>
          <t>PART A — 10-Q 2023년 3분기(2023-09-30)</t>
        </is>
      </c>
      <c r="B46" s="16" t="n"/>
      <c r="C46" s="15" t="n"/>
      <c r="D46" s="15" t="n"/>
      <c r="E46" s="15" t="n"/>
      <c r="F46" s="6" t="n"/>
      <c r="G46" s="6" t="n"/>
      <c r="H46" s="7" t="n"/>
    </row>
    <row r="47" ht="34" customHeight="1">
      <c r="A47" s="9" t="inlineStr">
        <is>
          <t>PART B — 10-K FY2023(2023-12-31)</t>
        </is>
      </c>
      <c r="B47" s="16" t="n"/>
      <c r="C47" s="15" t="n"/>
      <c r="D47" s="15" t="n"/>
      <c r="E47" s="15" t="n"/>
      <c r="F47" s="6" t="n"/>
      <c r="G47" s="6" t="n"/>
      <c r="H47" s="7" t="n"/>
    </row>
    <row r="48" ht="34" customHeight="1">
      <c r="A48" s="9" t="inlineStr">
        <is>
          <t>PART C — 10-K FY2024(2024-12-31)</t>
        </is>
      </c>
      <c r="B48" s="16" t="n"/>
      <c r="C48" s="15" t="n"/>
      <c r="D48" s="15" t="n"/>
      <c r="E48" s="15" t="n"/>
      <c r="F48" s="6" t="n"/>
      <c r="G48" s="6" t="n"/>
      <c r="H48" s="7" t="n"/>
    </row>
    <row r="50" ht="34" customHeight="1">
      <c r="A50" s="5" t="inlineStr">
        <is>
          <t>② P1-1b 비교표 붙여넣기 — P1-1b의 (2) 비교표는 4열(유형 · 시점 1: 상태 — 근거 · 시점 2: 상태 — 근거 · 변화)이라 A~D열에 그대로 들어갑니다. 비교표의 첫 데이터 줄부터(머리글 빼고) 복사 → A51 칸을 클릭하고 Ctrl+V. 근거가 들어간 B·C열이 좁으면 열 머리 경계를 끌어 넓힙니다.</t>
        </is>
      </c>
      <c r="B50" s="6" t="n"/>
      <c r="C50" s="6" t="n"/>
      <c r="D50" s="6" t="n"/>
      <c r="E50" s="6" t="n"/>
      <c r="F50" s="6" t="n"/>
      <c r="G50" s="6" t="n"/>
      <c r="H50" s="7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2">
      <c r="A62" s="5" t="inlineStr">
        <is>
          <t>③ 정리 — 문구가 바뀐(사라진) 것이 뜻하는 것과 뜻하지 않는 것</t>
        </is>
      </c>
      <c r="B62" s="6" t="n"/>
      <c r="C62" s="6" t="n"/>
      <c r="D62" s="6" t="n"/>
      <c r="E62" s="6" t="n"/>
      <c r="F62" s="6" t="n"/>
      <c r="G62" s="6" t="n"/>
      <c r="H62" s="7" t="n"/>
    </row>
    <row r="63" ht="34" customHeight="1">
      <c r="A63" s="5" t="inlineStr">
        <is>
          <t>going concern 문구가 사라졌다 = ?</t>
        </is>
      </c>
      <c r="B63" s="15" t="n"/>
      <c r="C63" s="6" t="n"/>
      <c r="D63" s="6" t="n"/>
      <c r="E63" s="6" t="n"/>
      <c r="F63" s="6" t="n"/>
      <c r="G63" s="6" t="n"/>
      <c r="H63" s="7" t="n"/>
    </row>
    <row r="64" ht="34" customHeight="1">
      <c r="A64" s="5" t="inlineStr">
        <is>
          <t>의미하지 않는 것</t>
        </is>
      </c>
      <c r="B64" s="15" t="n"/>
      <c r="C64" s="6" t="n"/>
      <c r="D64" s="6" t="n"/>
      <c r="E64" s="6" t="n"/>
      <c r="F64" s="6" t="n"/>
      <c r="G64" s="6" t="n"/>
      <c r="H64" s="7" t="n"/>
    </row>
    <row r="66">
      <c r="A66" s="5" t="inlineStr">
        <is>
          <t>④ AI 주장 4단계 판정(P1-7) — AI가 쓴 문장 하나를 골라 원문으로 판정</t>
        </is>
      </c>
      <c r="B66" s="6" t="n"/>
      <c r="C66" s="6" t="n"/>
      <c r="D66" s="6" t="n"/>
      <c r="E66" s="6" t="n"/>
      <c r="F66" s="6" t="n"/>
      <c r="G66" s="6" t="n"/>
      <c r="H66" s="7" t="n"/>
    </row>
    <row r="67">
      <c r="A67" s="4" t="inlineStr">
        <is>
          <t>AI 주장(한 문장)</t>
        </is>
      </c>
      <c r="B67" s="6" t="n"/>
      <c r="C67" s="7" t="n"/>
      <c r="D67" s="4" t="inlineStr">
        <is>
          <t>판정(4단계)</t>
        </is>
      </c>
      <c r="E67" s="4" t="inlineStr">
        <is>
          <t>근거(원문 위치·숫자)</t>
        </is>
      </c>
      <c r="F67" s="6" t="n"/>
      <c r="G67" s="6" t="n"/>
      <c r="H67" s="7" t="n"/>
    </row>
    <row r="68" ht="30" customHeight="1">
      <c r="A68" s="15" t="n"/>
      <c r="B68" s="6" t="n"/>
      <c r="C68" s="7" t="n"/>
      <c r="D68" s="16" t="n"/>
      <c r="E68" s="15" t="n"/>
      <c r="F68" s="6" t="n"/>
      <c r="G68" s="6" t="n"/>
      <c r="H68" s="7" t="n"/>
    </row>
    <row r="69" ht="30" customHeight="1">
      <c r="A69" s="15" t="n"/>
      <c r="B69" s="6" t="n"/>
      <c r="C69" s="7" t="n"/>
      <c r="D69" s="16" t="n"/>
      <c r="E69" s="15" t="n"/>
      <c r="F69" s="6" t="n"/>
      <c r="G69" s="6" t="n"/>
      <c r="H69" s="7" t="n"/>
    </row>
    <row r="70" ht="30" customHeight="1">
      <c r="A70" s="15" t="n"/>
      <c r="B70" s="6" t="n"/>
      <c r="C70" s="7" t="n"/>
      <c r="D70" s="16" t="n"/>
      <c r="E70" s="15" t="n"/>
      <c r="F70" s="6" t="n"/>
      <c r="G70" s="6" t="n"/>
      <c r="H70" s="7" t="n"/>
    </row>
  </sheetData>
  <mergeCells count="23">
    <mergeCell ref="E45:H45"/>
    <mergeCell ref="E70:H70"/>
    <mergeCell ref="B40:H40"/>
    <mergeCell ref="B64:H64"/>
    <mergeCell ref="B63:H63"/>
    <mergeCell ref="B41:H41"/>
    <mergeCell ref="E47:H47"/>
    <mergeCell ref="A66:H66"/>
    <mergeCell ref="E68:H68"/>
    <mergeCell ref="E67:H67"/>
    <mergeCell ref="A50:H50"/>
    <mergeCell ref="E48:H48"/>
    <mergeCell ref="A68:C68"/>
    <mergeCell ref="A2:H2"/>
    <mergeCell ref="B39:H39"/>
    <mergeCell ref="A67:C67"/>
    <mergeCell ref="A4:H4"/>
    <mergeCell ref="A62:H62"/>
    <mergeCell ref="E69:H69"/>
    <mergeCell ref="A70:C70"/>
    <mergeCell ref="E46:H46"/>
    <mergeCell ref="A44:H44"/>
    <mergeCell ref="A69:C69"/>
  </mergeCells>
  <conditionalFormatting sqref="G7:G36">
    <cfRule type="cellIs" priority="1" operator="equal" dxfId="0">
      <formula>"✘"</formula>
    </cfRule>
  </conditionalFormatting>
  <dataValidations count="6">
    <dataValidation sqref="A7:A36" showDropDown="0" showInputMessage="1" showErrorMessage="1" allowBlank="1" errorTitle="목록에서 고르기" error="목록에 없는 값입니다. 그래도 넣을까요?" promptTitle="보고서" prompt="어느 보고서의 신호인지 고릅니다(목록에 없으면 직접 입력)." type="list" errorStyle="warning">
      <formula1>"Halden(가상),iRobot 10-K FY2024,Plug Power PART A 10-Q 2023Q3,Plug Power PART B 10-K FY2023,Plug Power PART C 10-K FY2024,Wolfspeed 10-Q,Big Lots 10-Q,기타"</formula1>
    </dataValidation>
    <dataValidation sqref="E7:E36" showDropDown="0" showInputMessage="1" showErrorMessage="1" allowBlank="1" errorTitle="목록에서 고르기" error="목록(▼)에서 골라 주세요." promptTitle="심각도" prompt="상 / 중 / 하 중 하나. AI가 1~5점으로 주었으면 4~5 = 상, 3 = 중, 1~2 = 하로 옮깁니다." type="list" errorStyle="stop">
      <formula1>"상,중,하"</formula1>
    </dataValidation>
    <dataValidation sqref="F7:F36" showDropDown="0" showInputMessage="1" showErrorMessage="1" allowBlank="1" errorTitle="AI 확신도" error="0~1 사이 숫자를 권합니다(예: 0.8). 그래도 넣을까요?" promptTitle="AI 확신도" prompt="AI가 스스로 매긴 확신도(0~1). 참고만 하고, 검증은 인용과 위치로 합니다. 없으면 비워 둡니다." type="decimal" errorStyle="warning" operator="between">
      <formula1>0</formula1>
      <formula2>1</formula2>
    </dataValidation>
    <dataValidation sqref="G7:G36" showDropDown="0" showInputMessage="1" showErrorMessage="1" allowBlank="1" errorTitle="목록에서 고르기" error="목록(▼)에서 골라 주세요." promptTitle="검증" prompt="✔ = 원문에서 Ctrl+F로 찾음 · ✘ = 못 찾음(→ P1-1c로 인용 재확인, 다시 물은 결과는 H열 메모에). 한 단어만 달라도 안 찾히는데, 그것 자체가 발견입니다." type="list" errorStyle="stop">
      <formula1>"✔,✘"</formula1>
    </dataValidation>
    <dataValidation sqref="B46:B48" showDropDown="0" showInputMessage="1" showErrorMessage="1" allowBlank="1" errorTitle="목록에서 고르기" error="목록(▼)에서 골라 주세요." promptTitle="계속기업 문구 상태" prompt="의문 제기 / 해소 기재 / 언급 없음 — 부정·해소 표현(no longer 등)은 문장 전체를 읽고 고릅니다." type="list" errorStyle="stop">
      <formula1>"의문 제기,해소 기재,언급 없음"</formula1>
    </dataValidation>
    <dataValidation sqref="D68:D70" showDropDown="0" showInputMessage="1" showErrorMessage="1" allowBlank="1" errorTitle="목록에서 고르기" error="목록(▼)에서 골라 주세요." promptTitle="4단계 판정" prompt="검증가능 · 자료기반추정 · 거짓 · 검증불가(슬라이드 28)." type="list" errorStyle="stop">
      <formula1>"검증가능,자료기반추정,거짓,검증불가"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5FD1"/>
    <outlinePr summaryBelow="1" summaryRight="1"/>
    <pageSetUpPr fitToPage="1"/>
  </sheetPr>
  <dimension ref="A1:M36"/>
  <sheetViews>
    <sheetView tabSelected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25" customWidth="1" min="4" max="4"/>
    <col width="17" customWidth="1" min="5" max="5"/>
    <col width="15" customWidth="1" min="6" max="6"/>
    <col width="12" customWidth="1" min="7" max="7"/>
    <col width="13" customWidth="1" min="8" max="8"/>
    <col width="15" customWidth="1" min="9" max="9"/>
    <col width="11" customWidth="1" min="10" max="10"/>
    <col width="15" customWidth="1" min="11" max="11"/>
    <col width="11" customWidth="1" min="12" max="12"/>
    <col width="32" customWidth="1" min="13" max="13"/>
  </cols>
  <sheetData>
    <row r="1" ht="24" customHeight="1">
      <c r="A1" s="1" t="inlineStr">
        <is>
          <t>02_비율검증 · AI가 계산한 재무비율 검산 (Lab1)</t>
        </is>
      </c>
    </row>
    <row r="2" ht="35" customHeight="1">
      <c r="A2" s="2" t="inlineStr">
        <is>
          <t>AI(P1-2)가 보여 준 분자·분모와 결과를 노란 칸에 적으면 회색 칸이 '내 계산'과 '차이율'을 자동으로 냅니다. 기준값은 iRobot = real_buyers_ratios.csv(SEC), Halden = 강사 정답 공개 뒤에 적고, K열에서 4단계 판정을 고릅니다. 매출채권회전일은 L열 '기간 일수'(연간 365)로 계산하고, 차이의 원인은 M열 메모에 적습니다.</t>
        </is>
      </c>
    </row>
    <row r="3">
      <c r="A3" s="3" t="inlineStr">
        <is>
          <t>노란 칸 = 입력 · 회색 칸 = 자동 계산(지우지 마세요) · 저장: [파일] → [다른 이름으로 저장] → d1_end_eda__T조-번호.xlsx</t>
        </is>
      </c>
    </row>
    <row r="5" ht="34" customHeight="1">
      <c r="A5" s="4" t="inlineStr">
        <is>
          <t>회사</t>
        </is>
      </c>
      <c r="B5" s="4" t="inlineStr">
        <is>
          <t>기간</t>
        </is>
      </c>
      <c r="C5" s="4" t="inlineStr">
        <is>
          <t>지표</t>
        </is>
      </c>
      <c r="D5" s="4" t="inlineStr">
        <is>
          <t>공식</t>
        </is>
      </c>
      <c r="E5" s="4" t="inlineStr">
        <is>
          <t>분자(AI가 뽑은 값)</t>
        </is>
      </c>
      <c r="F5" s="4" t="inlineStr">
        <is>
          <t>분모</t>
        </is>
      </c>
      <c r="G5" s="4" t="inlineStr">
        <is>
          <t>AI 결과</t>
        </is>
      </c>
      <c r="H5" s="4" t="inlineStr">
        <is>
          <t>내 계산(수식)</t>
        </is>
      </c>
      <c r="I5" s="4" t="inlineStr">
        <is>
          <t>기준값(정답지/SEC)</t>
        </is>
      </c>
      <c r="J5" s="4" t="inlineStr">
        <is>
          <t>차이율(수식)</t>
        </is>
      </c>
      <c r="K5" s="4" t="inlineStr">
        <is>
          <t>4단계 판정</t>
        </is>
      </c>
      <c r="L5" s="4" t="inlineStr">
        <is>
          <t>기간 일수(DSO)</t>
        </is>
      </c>
      <c r="M5" s="4" t="inlineStr">
        <is>
          <t>메모(차이 원인)</t>
        </is>
      </c>
    </row>
    <row r="6" ht="34" customHeight="1">
      <c r="A6" s="9" t="inlineStr">
        <is>
          <t>Halden(가상)</t>
        </is>
      </c>
      <c r="B6" s="9" t="inlineStr">
        <is>
          <t>FY2026 (2026-06-30)</t>
        </is>
      </c>
      <c r="C6" s="9" t="inlineStr">
        <is>
          <t>current_ratio</t>
        </is>
      </c>
      <c r="D6" s="9" t="inlineStr">
        <is>
          <t>유동자산 ÷ 유동부채</t>
        </is>
      </c>
      <c r="E6" s="20" t="n"/>
      <c r="F6" s="20" t="n"/>
      <c r="G6" s="21" t="n"/>
      <c r="H6" s="22">
        <f>IF(OR(E6="",F6=""),"",IF(AND(C6="debt_to_equity",F6&lt;=0),"해석 불가",IF(F6=0,"",IF(C6="dso_days",IF(ISNUMBER(L6),E6/F6*L6,"일수 입력(L열)"),E6/F6))))</f>
        <v/>
      </c>
      <c r="I6" s="21" t="n"/>
      <c r="J6" s="23">
        <f>IF(OR(G6="",I6=""),"",IF(OR(ISTEXT(G6),ISTEXT(I6)),"",IF(I6=0,"",ABS(G6-I6)/ABS(I6))))</f>
        <v/>
      </c>
      <c r="K6" s="16" t="n"/>
      <c r="L6" s="24" t="inlineStr">
        <is>
          <t>—</t>
        </is>
      </c>
      <c r="M6" s="15" t="n"/>
    </row>
    <row r="7" ht="34" customHeight="1">
      <c r="A7" s="9" t="inlineStr">
        <is>
          <t>Halden(가상)</t>
        </is>
      </c>
      <c r="B7" s="9" t="inlineStr">
        <is>
          <t>FY2026 (2026-06-30)</t>
        </is>
      </c>
      <c r="C7" s="9" t="inlineStr">
        <is>
          <t>debt_to_equity</t>
        </is>
      </c>
      <c r="D7" s="9" t="inlineStr">
        <is>
          <t>총부채 ÷ 자기자본</t>
        </is>
      </c>
      <c r="E7" s="20" t="n"/>
      <c r="F7" s="20" t="n"/>
      <c r="G7" s="21" t="n"/>
      <c r="H7" s="22">
        <f>IF(OR(E7="",F7=""),"",IF(AND(C7="debt_to_equity",F7&lt;=0),"해석 불가",IF(F7=0,"",IF(C7="dso_days",IF(ISNUMBER(L7),E7/F7*L7,"일수 입력(L열)"),E7/F7))))</f>
        <v/>
      </c>
      <c r="I7" s="21" t="n"/>
      <c r="J7" s="23">
        <f>IF(OR(G7="",I7=""),"",IF(OR(ISTEXT(G7),ISTEXT(I7)),"",IF(I7=0,"",ABS(G7-I7)/ABS(I7))))</f>
        <v/>
      </c>
      <c r="K7" s="16" t="n"/>
      <c r="L7" s="24" t="inlineStr">
        <is>
          <t>—</t>
        </is>
      </c>
      <c r="M7" s="15" t="n"/>
    </row>
    <row r="8" ht="34" customHeight="1">
      <c r="A8" s="9" t="inlineStr">
        <is>
          <t>Halden(가상)</t>
        </is>
      </c>
      <c r="B8" s="9" t="inlineStr">
        <is>
          <t>FY2026 (2026-06-30)</t>
        </is>
      </c>
      <c r="C8" s="9" t="inlineStr">
        <is>
          <t>dso_days</t>
        </is>
      </c>
      <c r="D8" s="9" t="inlineStr">
        <is>
          <t>매출채권 ÷ 매출 × 기간 일수</t>
        </is>
      </c>
      <c r="E8" s="20" t="n"/>
      <c r="F8" s="20" t="n"/>
      <c r="G8" s="25" t="n"/>
      <c r="H8" s="26">
        <f>IF(OR(E8="",F8=""),"",IF(AND(C8="debt_to_equity",F8&lt;=0),"해석 불가",IF(F8=0,"",IF(C8="dso_days",IF(ISNUMBER(L8),E8/F8*L8,"일수 입력(L열)"),E8/F8))))</f>
        <v/>
      </c>
      <c r="I8" s="25" t="n"/>
      <c r="J8" s="23">
        <f>IF(OR(G8="",I8=""),"",IF(OR(ISTEXT(G8),ISTEXT(I8)),"",IF(I8=0,"",ABS(G8-I8)/ABS(I8))))</f>
        <v/>
      </c>
      <c r="K8" s="16" t="n"/>
      <c r="L8" s="27" t="n">
        <v>365</v>
      </c>
      <c r="M8" s="15" t="n"/>
    </row>
    <row r="9" ht="34" customHeight="1">
      <c r="A9" s="9" t="inlineStr">
        <is>
          <t>Halden(가상)</t>
        </is>
      </c>
      <c r="B9" s="9" t="inlineStr">
        <is>
          <t>FY2026 (2026-06-30)</t>
        </is>
      </c>
      <c r="C9" s="9" t="inlineStr">
        <is>
          <t>op_margin</t>
        </is>
      </c>
      <c r="D9" s="9" t="inlineStr">
        <is>
          <t>영업이익 ÷ 매출 (%로 표시)</t>
        </is>
      </c>
      <c r="E9" s="20" t="n"/>
      <c r="F9" s="20" t="n"/>
      <c r="G9" s="28" t="n"/>
      <c r="H9" s="29">
        <f>IF(OR(E9="",F9=""),"",IF(AND(C9="debt_to_equity",F9&lt;=0),"해석 불가",IF(F9=0,"",IF(C9="dso_days",IF(ISNUMBER(L9),E9/F9*L9,"일수 입력(L열)"),E9/F9))))</f>
        <v/>
      </c>
      <c r="I9" s="28" t="n"/>
      <c r="J9" s="23">
        <f>IF(OR(G9="",I9=""),"",IF(OR(ISTEXT(G9),ISTEXT(I9)),"",IF(I9=0,"",ABS(G9-I9)/ABS(I9))))</f>
        <v/>
      </c>
      <c r="K9" s="16" t="n"/>
      <c r="L9" s="24" t="inlineStr">
        <is>
          <t>—</t>
        </is>
      </c>
      <c r="M9" s="15" t="n"/>
    </row>
    <row r="10" ht="34" customHeight="1">
      <c r="A10" s="9" t="inlineStr">
        <is>
          <t>Halden(가상)</t>
        </is>
      </c>
      <c r="B10" s="9" t="inlineStr">
        <is>
          <t>FY2025 (2025-06-30)</t>
        </is>
      </c>
      <c r="C10" s="9" t="inlineStr">
        <is>
          <t>current_ratio</t>
        </is>
      </c>
      <c r="D10" s="9" t="inlineStr">
        <is>
          <t>유동자산 ÷ 유동부채</t>
        </is>
      </c>
      <c r="E10" s="20" t="n"/>
      <c r="F10" s="20" t="n"/>
      <c r="G10" s="21" t="n"/>
      <c r="H10" s="22">
        <f>IF(OR(E10="",F10=""),"",IF(AND(C10="debt_to_equity",F10&lt;=0),"해석 불가",IF(F10=0,"",IF(C10="dso_days",IF(ISNUMBER(L10),E10/F10*L10,"일수 입력(L열)"),E10/F10))))</f>
        <v/>
      </c>
      <c r="I10" s="21" t="n"/>
      <c r="J10" s="23">
        <f>IF(OR(G10="",I10=""),"",IF(OR(ISTEXT(G10),ISTEXT(I10)),"",IF(I10=0,"",ABS(G10-I10)/ABS(I10))))</f>
        <v/>
      </c>
      <c r="K10" s="16" t="n"/>
      <c r="L10" s="24" t="inlineStr">
        <is>
          <t>—</t>
        </is>
      </c>
      <c r="M10" s="15" t="n"/>
    </row>
    <row r="11" ht="34" customHeight="1">
      <c r="A11" s="9" t="inlineStr">
        <is>
          <t>Halden(가상)</t>
        </is>
      </c>
      <c r="B11" s="9" t="inlineStr">
        <is>
          <t>FY2025 (2025-06-30)</t>
        </is>
      </c>
      <c r="C11" s="9" t="inlineStr">
        <is>
          <t>debt_to_equity</t>
        </is>
      </c>
      <c r="D11" s="9" t="inlineStr">
        <is>
          <t>총부채 ÷ 자기자본</t>
        </is>
      </c>
      <c r="E11" s="20" t="n"/>
      <c r="F11" s="20" t="n"/>
      <c r="G11" s="21" t="n"/>
      <c r="H11" s="22">
        <f>IF(OR(E11="",F11=""),"",IF(AND(C11="debt_to_equity",F11&lt;=0),"해석 불가",IF(F11=0,"",IF(C11="dso_days",IF(ISNUMBER(L11),E11/F11*L11,"일수 입력(L열)"),E11/F11))))</f>
        <v/>
      </c>
      <c r="I11" s="21" t="n"/>
      <c r="J11" s="23">
        <f>IF(OR(G11="",I11=""),"",IF(OR(ISTEXT(G11),ISTEXT(I11)),"",IF(I11=0,"",ABS(G11-I11)/ABS(I11))))</f>
        <v/>
      </c>
      <c r="K11" s="16" t="n"/>
      <c r="L11" s="24" t="inlineStr">
        <is>
          <t>—</t>
        </is>
      </c>
      <c r="M11" s="15" t="n"/>
    </row>
    <row r="12" ht="34" customHeight="1">
      <c r="A12" s="9" t="inlineStr">
        <is>
          <t>Halden(가상)</t>
        </is>
      </c>
      <c r="B12" s="9" t="inlineStr">
        <is>
          <t>FY2025 (2025-06-30)</t>
        </is>
      </c>
      <c r="C12" s="9" t="inlineStr">
        <is>
          <t>dso_days</t>
        </is>
      </c>
      <c r="D12" s="9" t="inlineStr">
        <is>
          <t>매출채권 ÷ 매출 × 기간 일수</t>
        </is>
      </c>
      <c r="E12" s="20" t="n"/>
      <c r="F12" s="20" t="n"/>
      <c r="G12" s="25" t="n"/>
      <c r="H12" s="26">
        <f>IF(OR(E12="",F12=""),"",IF(AND(C12="debt_to_equity",F12&lt;=0),"해석 불가",IF(F12=0,"",IF(C12="dso_days",IF(ISNUMBER(L12),E12/F12*L12,"일수 입력(L열)"),E12/F12))))</f>
        <v/>
      </c>
      <c r="I12" s="25" t="n"/>
      <c r="J12" s="23">
        <f>IF(OR(G12="",I12=""),"",IF(OR(ISTEXT(G12),ISTEXT(I12)),"",IF(I12=0,"",ABS(G12-I12)/ABS(I12))))</f>
        <v/>
      </c>
      <c r="K12" s="16" t="n"/>
      <c r="L12" s="27" t="n">
        <v>365</v>
      </c>
      <c r="M12" s="15" t="n"/>
    </row>
    <row r="13" ht="34" customHeight="1">
      <c r="A13" s="9" t="inlineStr">
        <is>
          <t>Halden(가상)</t>
        </is>
      </c>
      <c r="B13" s="9" t="inlineStr">
        <is>
          <t>FY2025 (2025-06-30)</t>
        </is>
      </c>
      <c r="C13" s="9" t="inlineStr">
        <is>
          <t>op_margin</t>
        </is>
      </c>
      <c r="D13" s="9" t="inlineStr">
        <is>
          <t>영업이익 ÷ 매출 (%로 표시)</t>
        </is>
      </c>
      <c r="E13" s="20" t="n"/>
      <c r="F13" s="20" t="n"/>
      <c r="G13" s="28" t="n"/>
      <c r="H13" s="29">
        <f>IF(OR(E13="",F13=""),"",IF(AND(C13="debt_to_equity",F13&lt;=0),"해석 불가",IF(F13=0,"",IF(C13="dso_days",IF(ISNUMBER(L13),E13/F13*L13,"일수 입력(L열)"),E13/F13))))</f>
        <v/>
      </c>
      <c r="I13" s="28" t="n"/>
      <c r="J13" s="23">
        <f>IF(OR(G13="",I13=""),"",IF(OR(ISTEXT(G13),ISTEXT(I13)),"",IF(I13=0,"",ABS(G13-I13)/ABS(I13))))</f>
        <v/>
      </c>
      <c r="K13" s="16" t="n"/>
      <c r="L13" s="24" t="inlineStr">
        <is>
          <t>—</t>
        </is>
      </c>
      <c r="M13" s="15" t="n"/>
    </row>
    <row r="14" ht="34" customHeight="1">
      <c r="A14" s="9" t="inlineStr">
        <is>
          <t>iRobot</t>
        </is>
      </c>
      <c r="B14" s="9" t="inlineStr">
        <is>
          <t>FY2024 (2024-12-28)</t>
        </is>
      </c>
      <c r="C14" s="9" t="inlineStr">
        <is>
          <t>current_ratio</t>
        </is>
      </c>
      <c r="D14" s="9" t="inlineStr">
        <is>
          <t>유동자산 ÷ 유동부채</t>
        </is>
      </c>
      <c r="E14" s="20" t="n"/>
      <c r="F14" s="20" t="n"/>
      <c r="G14" s="21" t="n"/>
      <c r="H14" s="22">
        <f>IF(OR(E14="",F14=""),"",IF(AND(C14="debt_to_equity",F14&lt;=0),"해석 불가",IF(F14=0,"",IF(C14="dso_days",IF(ISNUMBER(L14),E14/F14*L14,"일수 입력(L열)"),E14/F14))))</f>
        <v/>
      </c>
      <c r="I14" s="21" t="n"/>
      <c r="J14" s="23">
        <f>IF(OR(G14="",I14=""),"",IF(OR(ISTEXT(G14),ISTEXT(I14)),"",IF(I14=0,"",ABS(G14-I14)/ABS(I14))))</f>
        <v/>
      </c>
      <c r="K14" s="16" t="n"/>
      <c r="L14" s="24" t="inlineStr">
        <is>
          <t>—</t>
        </is>
      </c>
      <c r="M14" s="15" t="n"/>
    </row>
    <row r="15" ht="34" customHeight="1">
      <c r="A15" s="9" t="inlineStr">
        <is>
          <t>iRobot</t>
        </is>
      </c>
      <c r="B15" s="9" t="inlineStr">
        <is>
          <t>FY2024 (2024-12-28)</t>
        </is>
      </c>
      <c r="C15" s="9" t="inlineStr">
        <is>
          <t>debt_to_equity</t>
        </is>
      </c>
      <c r="D15" s="9" t="inlineStr">
        <is>
          <t>총부채 ÷ 자기자본</t>
        </is>
      </c>
      <c r="E15" s="20" t="n"/>
      <c r="F15" s="20" t="n"/>
      <c r="G15" s="21" t="n"/>
      <c r="H15" s="22">
        <f>IF(OR(E15="",F15=""),"",IF(AND(C15="debt_to_equity",F15&lt;=0),"해석 불가",IF(F15=0,"",IF(C15="dso_days",IF(ISNUMBER(L15),E15/F15*L15,"일수 입력(L열)"),E15/F15))))</f>
        <v/>
      </c>
      <c r="I15" s="21" t="n"/>
      <c r="J15" s="23">
        <f>IF(OR(G15="",I15=""),"",IF(OR(ISTEXT(G15),ISTEXT(I15)),"",IF(I15=0,"",ABS(G15-I15)/ABS(I15))))</f>
        <v/>
      </c>
      <c r="K15" s="16" t="n"/>
      <c r="L15" s="24" t="inlineStr">
        <is>
          <t>—</t>
        </is>
      </c>
      <c r="M15" s="15" t="n"/>
    </row>
    <row r="16" ht="34" customHeight="1">
      <c r="A16" s="9" t="inlineStr">
        <is>
          <t>iRobot</t>
        </is>
      </c>
      <c r="B16" s="9" t="inlineStr">
        <is>
          <t>FY2024 (2024-12-28)</t>
        </is>
      </c>
      <c r="C16" s="9" t="inlineStr">
        <is>
          <t>dso_days</t>
        </is>
      </c>
      <c r="D16" s="9" t="inlineStr">
        <is>
          <t>매출채권 ÷ 매출 × 기간 일수</t>
        </is>
      </c>
      <c r="E16" s="20" t="n"/>
      <c r="F16" s="20" t="n"/>
      <c r="G16" s="25" t="n"/>
      <c r="H16" s="26">
        <f>IF(OR(E16="",F16=""),"",IF(AND(C16="debt_to_equity",F16&lt;=0),"해석 불가",IF(F16=0,"",IF(C16="dso_days",IF(ISNUMBER(L16),E16/F16*L16,"일수 입력(L열)"),E16/F16))))</f>
        <v/>
      </c>
      <c r="I16" s="25" t="n"/>
      <c r="J16" s="23">
        <f>IF(OR(G16="",I16=""),"",IF(OR(ISTEXT(G16),ISTEXT(I16)),"",IF(I16=0,"",ABS(G16-I16)/ABS(I16))))</f>
        <v/>
      </c>
      <c r="K16" s="16" t="n"/>
      <c r="L16" s="27" t="n">
        <v>365</v>
      </c>
      <c r="M16" s="15" t="n"/>
    </row>
    <row r="17" ht="34" customHeight="1">
      <c r="A17" s="9" t="inlineStr">
        <is>
          <t>iRobot</t>
        </is>
      </c>
      <c r="B17" s="9" t="inlineStr">
        <is>
          <t>FY2024 (2024-12-28)</t>
        </is>
      </c>
      <c r="C17" s="9" t="inlineStr">
        <is>
          <t>op_margin</t>
        </is>
      </c>
      <c r="D17" s="9" t="inlineStr">
        <is>
          <t>영업이익 ÷ 매출 (%로 표시)</t>
        </is>
      </c>
      <c r="E17" s="20" t="n"/>
      <c r="F17" s="20" t="n"/>
      <c r="G17" s="28" t="n"/>
      <c r="H17" s="29">
        <f>IF(OR(E17="",F17=""),"",IF(AND(C17="debt_to_equity",F17&lt;=0),"해석 불가",IF(F17=0,"",IF(C17="dso_days",IF(ISNUMBER(L17),E17/F17*L17,"일수 입력(L열)"),E17/F17))))</f>
        <v/>
      </c>
      <c r="I17" s="28" t="n"/>
      <c r="J17" s="23">
        <f>IF(OR(G17="",I17=""),"",IF(OR(ISTEXT(G17),ISTEXT(I17)),"",IF(I17=0,"",ABS(G17-I17)/ABS(I17))))</f>
        <v/>
      </c>
      <c r="K17" s="16" t="n"/>
      <c r="L17" s="24" t="inlineStr">
        <is>
          <t>—</t>
        </is>
      </c>
      <c r="M17" s="15" t="n"/>
    </row>
    <row r="18" ht="20" customHeight="1">
      <c r="A18" s="18" t="inlineStr">
        <is>
          <t>(선택) 다른 회사·연도 — Standard·Challenge: 회사·기간을 직접 적고, DSO 줄의 L열에 기간 일수를 적습니다</t>
        </is>
      </c>
    </row>
    <row r="19" ht="34" customHeight="1">
      <c r="A19" s="15" t="n"/>
      <c r="B19" s="15" t="n"/>
      <c r="C19" s="9" t="inlineStr">
        <is>
          <t>current_ratio</t>
        </is>
      </c>
      <c r="D19" s="9" t="inlineStr">
        <is>
          <t>유동자산 ÷ 유동부채</t>
        </is>
      </c>
      <c r="E19" s="20" t="n"/>
      <c r="F19" s="20" t="n"/>
      <c r="G19" s="21" t="n"/>
      <c r="H19" s="22">
        <f>IF(OR(E19="",F19=""),"",IF(AND(C19="debt_to_equity",F19&lt;=0),"해석 불가",IF(F19=0,"",IF(C19="dso_days",IF(ISNUMBER(L19),E19/F19*L19,"일수 입력(L열)"),E19/F19))))</f>
        <v/>
      </c>
      <c r="I19" s="21" t="n"/>
      <c r="J19" s="23">
        <f>IF(OR(G19="",I19=""),"",IF(OR(ISTEXT(G19),ISTEXT(I19)),"",IF(I19=0,"",ABS(G19-I19)/ABS(I19))))</f>
        <v/>
      </c>
      <c r="K19" s="16" t="n"/>
      <c r="L19" s="24" t="inlineStr">
        <is>
          <t>—</t>
        </is>
      </c>
      <c r="M19" s="15" t="n"/>
    </row>
    <row r="20" ht="34" customHeight="1">
      <c r="A20" s="15" t="n"/>
      <c r="B20" s="15" t="n"/>
      <c r="C20" s="9" t="inlineStr">
        <is>
          <t>debt_to_equity</t>
        </is>
      </c>
      <c r="D20" s="9" t="inlineStr">
        <is>
          <t>총부채 ÷ 자기자본</t>
        </is>
      </c>
      <c r="E20" s="20" t="n"/>
      <c r="F20" s="20" t="n"/>
      <c r="G20" s="21" t="n"/>
      <c r="H20" s="22">
        <f>IF(OR(E20="",F20=""),"",IF(AND(C20="debt_to_equity",F20&lt;=0),"해석 불가",IF(F20=0,"",IF(C20="dso_days",IF(ISNUMBER(L20),E20/F20*L20,"일수 입력(L열)"),E20/F20))))</f>
        <v/>
      </c>
      <c r="I20" s="21" t="n"/>
      <c r="J20" s="23">
        <f>IF(OR(G20="",I20=""),"",IF(OR(ISTEXT(G20),ISTEXT(I20)),"",IF(I20=0,"",ABS(G20-I20)/ABS(I20))))</f>
        <v/>
      </c>
      <c r="K20" s="16" t="n"/>
      <c r="L20" s="24" t="inlineStr">
        <is>
          <t>—</t>
        </is>
      </c>
      <c r="M20" s="15" t="n"/>
    </row>
    <row r="21" ht="34" customHeight="1">
      <c r="A21" s="15" t="n"/>
      <c r="B21" s="15" t="n"/>
      <c r="C21" s="9" t="inlineStr">
        <is>
          <t>dso_days</t>
        </is>
      </c>
      <c r="D21" s="9" t="inlineStr">
        <is>
          <t>매출채권 ÷ 매출 × 기간 일수</t>
        </is>
      </c>
      <c r="E21" s="20" t="n"/>
      <c r="F21" s="20" t="n"/>
      <c r="G21" s="25" t="n"/>
      <c r="H21" s="26">
        <f>IF(OR(E21="",F21=""),"",IF(AND(C21="debt_to_equity",F21&lt;=0),"해석 불가",IF(F21=0,"",IF(C21="dso_days",IF(ISNUMBER(L21),E21/F21*L21,"일수 입력(L열)"),E21/F21))))</f>
        <v/>
      </c>
      <c r="I21" s="25" t="n"/>
      <c r="J21" s="23">
        <f>IF(OR(G21="",I21=""),"",IF(OR(ISTEXT(G21),ISTEXT(I21)),"",IF(I21=0,"",ABS(G21-I21)/ABS(I21))))</f>
        <v/>
      </c>
      <c r="K21" s="16" t="n"/>
      <c r="L21" s="30" t="n"/>
      <c r="M21" s="15" t="n"/>
    </row>
    <row r="22" ht="34" customHeight="1">
      <c r="A22" s="15" t="n"/>
      <c r="B22" s="15" t="n"/>
      <c r="C22" s="9" t="inlineStr">
        <is>
          <t>op_margin</t>
        </is>
      </c>
      <c r="D22" s="9" t="inlineStr">
        <is>
          <t>영업이익 ÷ 매출 (%로 표시)</t>
        </is>
      </c>
      <c r="E22" s="20" t="n"/>
      <c r="F22" s="20" t="n"/>
      <c r="G22" s="28" t="n"/>
      <c r="H22" s="29">
        <f>IF(OR(E22="",F22=""),"",IF(AND(C22="debt_to_equity",F22&lt;=0),"해석 불가",IF(F22=0,"",IF(C22="dso_days",IF(ISNUMBER(L22),E22/F22*L22,"일수 입력(L열)"),E22/F22))))</f>
        <v/>
      </c>
      <c r="I22" s="28" t="n"/>
      <c r="J22" s="23">
        <f>IF(OR(G22="",I22=""),"",IF(OR(ISTEXT(G22),ISTEXT(I22)),"",IF(I22=0,"",ABS(G22-I22)/ABS(I22))))</f>
        <v/>
      </c>
      <c r="K22" s="16" t="n"/>
      <c r="L22" s="24" t="inlineStr">
        <is>
          <t>—</t>
        </is>
      </c>
      <c r="M22" s="15" t="n"/>
    </row>
    <row r="23"/>
    <row r="24" ht="19.5" customHeight="1">
      <c r="A24" s="18" t="inlineStr">
        <is>
          <t>읽는 법</t>
        </is>
      </c>
    </row>
    <row r="25" ht="19.5" customHeight="1">
      <c r="A25" s="31" t="inlineStr">
        <is>
          <t>· 'AI 결과'와 '내 계산'이 다르면(AI 결과 칸이 주황색) → AI의 계산 실수입니다. 계산은 엑셀로 다시 합니다.</t>
        </is>
      </c>
    </row>
    <row r="26" ht="19.5" customHeight="1">
      <c r="A26" s="31" t="inlineStr">
        <is>
          <t>· '내 계산'과 '기준값'이 다르면 → AI가 숫자를 잘못 뽑았습니다. 단위(천·백만), 기간(분기·연간·전년 열), 계정 정의(총부채·매출채권)를 봅니다. 원인은 M열 메모에 한 줄로 적습니다.</t>
        </is>
      </c>
    </row>
    <row r="27" ht="32" customHeight="1">
      <c r="A27" s="31" t="inlineStr">
        <is>
          <t>· 매출채권회전일(dso_days)의 '내 계산'은 L열 '기간 일수'를 곱합니다. 연간(10-K·연차보고서) = 365 · 10-Q 분기 = 그 분기의 실제 일수(3개월은 보통 91~92, 13주는 91) · 9개월 누적 ≈ 273. ×4 같은 연환산은 하지 않습니다. Halden·iRobot 줄(연간)은 365로 채워 두었고, '(선택) 다른 회사·연도' 줄(19–22행)은 L21에 직접 적습니다(비어 있으면 H21에 '일수 입력(L열)'이 보입니다).</t>
        </is>
      </c>
    </row>
    <row r="28" ht="19.5" customHeight="1">
      <c r="A28" s="31" t="inlineStr">
        <is>
          <t>· 차이율이 1%를 넘으면 빨간색이 됩니다. 분자·분모는 같은 단위로 적고, AI 결과는 AI가 쓴 자릿수 그대로, 영업이익률은 % 기호까지 입력합니다(예: 12.34%).</t>
        </is>
      </c>
    </row>
    <row r="29" ht="19.5" customHeight="1">
      <c r="A29" s="31" t="inlineStr">
        <is>
          <t>· 자기자본이 0 이하이면 부채비율은 계산하지 않고 '해석 불가'로 둡니다(내 계산 칸이 자동으로 표시).</t>
        </is>
      </c>
    </row>
    <row r="30"/>
    <row r="31" ht="19.5" customHeight="1">
      <c r="A31" s="18" t="inlineStr">
        <is>
          <t>숫자 검증 4단계(슬라이드 28)</t>
        </is>
      </c>
    </row>
    <row r="32" ht="19.5" customHeight="1">
      <c r="A32" s="4" t="inlineStr">
        <is>
          <t>라벨</t>
        </is>
      </c>
      <c r="B32" s="4" t="inlineStr">
        <is>
          <t>뜻</t>
        </is>
      </c>
      <c r="C32" s="7" t="n"/>
      <c r="D32" s="4" t="inlineStr">
        <is>
          <t>할 일</t>
        </is>
      </c>
      <c r="E32" s="6" t="n"/>
      <c r="F32" s="7" t="n"/>
    </row>
    <row r="33" ht="19.5" customHeight="1">
      <c r="A33" s="5" t="inlineStr">
        <is>
          <t>검증가능</t>
        </is>
      </c>
      <c r="B33" s="9" t="inlineStr">
        <is>
          <t>1차 출처에서 같은 숫자를 확인</t>
        </is>
      </c>
      <c r="C33" s="7" t="n"/>
      <c r="D33" s="9" t="inlineStr">
        <is>
          <t>출처·날짜와 함께 쓴다</t>
        </is>
      </c>
      <c r="E33" s="6" t="n"/>
      <c r="F33" s="7" t="n"/>
    </row>
    <row r="34" ht="34" customHeight="1">
      <c r="A34" s="5" t="inlineStr">
        <is>
          <t>자료기반추정</t>
        </is>
      </c>
      <c r="B34" s="9" t="inlineStr">
        <is>
          <t>근거는 있으나 연도·범위·계산이 다름</t>
        </is>
      </c>
      <c r="C34" s="7" t="n"/>
      <c r="D34" s="9" t="inlineStr">
        <is>
          <t>단서를 붙여 쓴다</t>
        </is>
      </c>
      <c r="E34" s="6" t="n"/>
      <c r="F34" s="7" t="n"/>
    </row>
    <row r="35" ht="19.5" customHeight="1">
      <c r="A35" s="5" t="inlineStr">
        <is>
          <t>거짓</t>
        </is>
      </c>
      <c r="B35" s="9" t="inlineStr">
        <is>
          <t>1차 출처와 다름</t>
        </is>
      </c>
      <c r="C35" s="7" t="n"/>
      <c r="D35" s="9" t="inlineStr">
        <is>
          <t>고쳐 쓴다</t>
        </is>
      </c>
      <c r="E35" s="6" t="n"/>
      <c r="F35" s="7" t="n"/>
    </row>
    <row r="36" ht="19.5" customHeight="1">
      <c r="A36" s="5" t="inlineStr">
        <is>
          <t>검증불가</t>
        </is>
      </c>
      <c r="B36" s="9" t="inlineStr">
        <is>
          <t>출처를 찾을 수 없음</t>
        </is>
      </c>
      <c r="C36" s="7" t="n"/>
      <c r="D36" s="9" t="inlineStr">
        <is>
          <t>쓰지 않는다</t>
        </is>
      </c>
      <c r="E36" s="6" t="n"/>
      <c r="F36" s="7" t="n"/>
    </row>
  </sheetData>
  <mergeCells count="16">
    <mergeCell ref="B33:C33"/>
    <mergeCell ref="A27:M27"/>
    <mergeCell ref="D32:F32"/>
    <mergeCell ref="B34:C34"/>
    <mergeCell ref="D35:F35"/>
    <mergeCell ref="D36:F36"/>
    <mergeCell ref="A26:M26"/>
    <mergeCell ref="B36:C36"/>
    <mergeCell ref="B32:C32"/>
    <mergeCell ref="A29:M29"/>
    <mergeCell ref="A25:M25"/>
    <mergeCell ref="B35:C35"/>
    <mergeCell ref="A2:M2"/>
    <mergeCell ref="D33:F33"/>
    <mergeCell ref="D34:F34"/>
    <mergeCell ref="A28:M28"/>
  </mergeCells>
  <conditionalFormatting sqref="J6:J22">
    <cfRule type="cellIs" priority="1" operator="greaterThan" dxfId="0">
      <formula>0.01</formula>
    </cfRule>
  </conditionalFormatting>
  <conditionalFormatting sqref="G6:G22">
    <cfRule type="expression" priority="2" dxfId="1">
      <formula>AND(ISNUMBER($G6),ISNUMBER($H6),ABS($G6-$H6)&gt;0.01*ABS($H6))</formula>
    </cfRule>
  </conditionalFormatting>
  <dataValidations count="2">
    <dataValidation sqref="K6:K22" showDropDown="0" showInputMessage="1" showErrorMessage="1" allowBlank="1" errorTitle="목록에서 고르기" error="목록(▼)에서 골라 주세요." promptTitle="4단계 판정" prompt="검증가능 = 1차 출처와 같은 숫자 · 자료기반추정 = 근거는 있으나 연도·범위·계산이 다름 · 거짓 = 1차 출처와 다름 · 검증불가 = 출처를 찾을 수 없음" type="list" errorStyle="stop">
      <formula1>"검증가능,자료기반추정,거짓,검증불가"</formula1>
    </dataValidation>
    <dataValidation sqref="L21" showDropDown="0" showInputMessage="1" showErrorMessage="1" allowBlank="1" errorTitle="기간 일수" error="1~366 사이 정수(날수)를 넣어 주세요. 연간이면 365입니다." promptTitle="기간 일수(DSO)" prompt="연간(10-K·연차보고서) = 365 · 10-Q 분기 = 그 분기의 실제 일수(3개월은 보통 91~92, 13주는 91) · 9개월 누적 ≈ 273. ×4 같은 연환산은 하지 않습니다." type="whole" errorStyle="stop" operator="between">
      <formula1>1</formula1>
      <formula2>366</formula2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L77"/>
  <sheetViews>
    <sheetView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30" customWidth="1" min="4" max="4"/>
    <col width="34" customWidth="1" min="5" max="5"/>
    <col width="30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03_EDA · 바이어 데이터 진단 · 요약 · 검산 (Lab2)</t>
        </is>
      </c>
    </row>
    <row r="2" ht="30" customHeight="1">
      <c r="A2" s="2" t="inlineStr">
        <is>
          <t>① P1-3 진단 결과(이상한 점 목록) ② P1-4 요약표·차트·코드 ③ AI 숫자와 내 피벗 숫자 대조 ④ 인사이트 3개를 차례로 채웁니다. AI에게는 진단만 시키고, 데이터를 고치게 하지 않습니다.</t>
        </is>
      </c>
    </row>
    <row r="3">
      <c r="A3" s="3" t="inlineStr">
        <is>
          <t>노란 칸 = 입력 · 점선 안 = AI 결과 붙여넣기 · 회색 칸 = 자동 계산(지우지 마세요) · 저장: [파일] → [다른 이름으로 저장] → d1_end_eda__T조-번호.xlsx</t>
        </is>
      </c>
    </row>
    <row r="5">
      <c r="A5" s="18" t="inlineStr">
        <is>
          <t>① 이상한 점 목록 — P1-3의 (3) 오염 목록 표를 A7부터 붙여 넣기(15줄 · 21행까지. 더 길면 AI에게 줄여 달라고 합니다) — AI는 찾기만, 고치지 않기</t>
        </is>
      </c>
    </row>
    <row r="6">
      <c r="A6" s="4" t="inlineStr">
        <is>
          <t>유형</t>
        </is>
      </c>
      <c r="B6" s="4" t="inlineStr">
        <is>
          <t>열</t>
        </is>
      </c>
      <c r="C6" s="4" t="inlineStr">
        <is>
          <t>해당 행 수</t>
        </is>
      </c>
      <c r="D6" s="4" t="inlineStr">
        <is>
          <t>예시(원문 그대로)</t>
        </is>
      </c>
      <c r="E6" s="4" t="inlineStr">
        <is>
          <t>오늘 분석에 주는 영향</t>
        </is>
      </c>
      <c r="F6" s="4" t="inlineStr">
        <is>
          <t>내일(Day2) 고칠 방법(제안)</t>
        </is>
      </c>
      <c r="G6" s="4" t="inlineStr">
        <is>
          <t>원본에서 확인 ✔/✘</t>
        </is>
      </c>
    </row>
    <row r="7">
      <c r="A7" s="15" t="n"/>
      <c r="B7" s="15" t="n"/>
      <c r="C7" s="16" t="n"/>
      <c r="D7" s="15" t="n"/>
      <c r="E7" s="15" t="n"/>
      <c r="F7" s="15" t="n"/>
      <c r="G7" s="16" t="n"/>
    </row>
    <row r="8">
      <c r="A8" s="15" t="n"/>
      <c r="B8" s="15" t="n"/>
      <c r="C8" s="16" t="n"/>
      <c r="D8" s="15" t="n"/>
      <c r="E8" s="15" t="n"/>
      <c r="F8" s="15" t="n"/>
      <c r="G8" s="16" t="n"/>
    </row>
    <row r="9">
      <c r="A9" s="15" t="n"/>
      <c r="B9" s="15" t="n"/>
      <c r="C9" s="16" t="n"/>
      <c r="D9" s="15" t="n"/>
      <c r="E9" s="15" t="n"/>
      <c r="F9" s="15" t="n"/>
      <c r="G9" s="16" t="n"/>
    </row>
    <row r="10">
      <c r="A10" s="15" t="n"/>
      <c r="B10" s="15" t="n"/>
      <c r="C10" s="16" t="n"/>
      <c r="D10" s="15" t="n"/>
      <c r="E10" s="15" t="n"/>
      <c r="F10" s="15" t="n"/>
      <c r="G10" s="16" t="n"/>
    </row>
    <row r="11">
      <c r="A11" s="15" t="n"/>
      <c r="B11" s="15" t="n"/>
      <c r="C11" s="16" t="n"/>
      <c r="D11" s="15" t="n"/>
      <c r="E11" s="15" t="n"/>
      <c r="F11" s="15" t="n"/>
      <c r="G11" s="16" t="n"/>
    </row>
    <row r="12">
      <c r="A12" s="15" t="n"/>
      <c r="B12" s="15" t="n"/>
      <c r="C12" s="16" t="n"/>
      <c r="D12" s="15" t="n"/>
      <c r="E12" s="15" t="n"/>
      <c r="F12" s="15" t="n"/>
      <c r="G12" s="16" t="n"/>
    </row>
    <row r="13">
      <c r="A13" s="15" t="n"/>
      <c r="B13" s="15" t="n"/>
      <c r="C13" s="16" t="n"/>
      <c r="D13" s="15" t="n"/>
      <c r="E13" s="15" t="n"/>
      <c r="F13" s="15" t="n"/>
      <c r="G13" s="16" t="n"/>
    </row>
    <row r="14">
      <c r="A14" s="15" t="n"/>
      <c r="B14" s="15" t="n"/>
      <c r="C14" s="16" t="n"/>
      <c r="D14" s="15" t="n"/>
      <c r="E14" s="15" t="n"/>
      <c r="F14" s="15" t="n"/>
      <c r="G14" s="16" t="n"/>
    </row>
    <row r="15">
      <c r="A15" s="15" t="n"/>
      <c r="B15" s="15" t="n"/>
      <c r="C15" s="16" t="n"/>
      <c r="D15" s="15" t="n"/>
      <c r="E15" s="15" t="n"/>
      <c r="F15" s="15" t="n"/>
      <c r="G15" s="16" t="n"/>
    </row>
    <row r="16">
      <c r="A16" s="15" t="n"/>
      <c r="B16" s="15" t="n"/>
      <c r="C16" s="16" t="n"/>
      <c r="D16" s="15" t="n"/>
      <c r="E16" s="15" t="n"/>
      <c r="F16" s="15" t="n"/>
      <c r="G16" s="16" t="n"/>
    </row>
    <row r="17">
      <c r="A17" s="15" t="n"/>
      <c r="B17" s="15" t="n"/>
      <c r="C17" s="16" t="n"/>
      <c r="D17" s="15" t="n"/>
      <c r="E17" s="15" t="n"/>
      <c r="F17" s="15" t="n"/>
      <c r="G17" s="16" t="n"/>
    </row>
    <row r="18">
      <c r="A18" s="15" t="n"/>
      <c r="B18" s="15" t="n"/>
      <c r="C18" s="16" t="n"/>
      <c r="D18" s="15" t="n"/>
      <c r="E18" s="15" t="n"/>
      <c r="F18" s="15" t="n"/>
      <c r="G18" s="16" t="n"/>
    </row>
    <row r="19">
      <c r="A19" s="15" t="n"/>
      <c r="B19" s="15" t="n"/>
      <c r="C19" s="16" t="n"/>
      <c r="D19" s="15" t="n"/>
      <c r="E19" s="15" t="n"/>
      <c r="F19" s="15" t="n"/>
      <c r="G19" s="16" t="n"/>
    </row>
    <row r="20">
      <c r="A20" s="15" t="n"/>
      <c r="B20" s="15" t="n"/>
      <c r="C20" s="16" t="n"/>
      <c r="D20" s="15" t="n"/>
      <c r="E20" s="15" t="n"/>
      <c r="F20" s="15" t="n"/>
      <c r="G20" s="16" t="n"/>
    </row>
    <row r="21">
      <c r="A21" s="15" t="n"/>
      <c r="B21" s="15" t="n"/>
      <c r="C21" s="16" t="n"/>
      <c r="D21" s="15" t="n"/>
      <c r="E21" s="15" t="n"/>
      <c r="F21" s="15" t="n"/>
      <c r="G21" s="16" t="n"/>
    </row>
    <row r="22">
      <c r="A22" s="11" t="inlineStr">
        <is>
          <t>이 목록은 내일(Day2) 정제 작업 목록이 됩니다. 오늘은 고치지 않고 적어 두기만 합니다.</t>
        </is>
      </c>
    </row>
    <row r="24">
      <c r="A24" s="18" t="inlineStr">
        <is>
          <t>② AI 요약 붙여넣기 — P1-4 요약표·차트·사용한 코드(계산식)</t>
        </is>
      </c>
    </row>
    <row r="25" ht="31" customHeight="1">
      <c r="A25" s="11" t="inlineStr">
        <is>
          <t>A26 칸을 클릭하고 Ctrl+V. P1-4의 표1(결제방식별)을 먼저 붙이고, 표3(국가별)은 한 줄 띄워 그 아래에 붙입니다(점선 안 59행까지). 표0 매핑표처럼 긴 표와 코드는 새 시트(시트 탭 오른쪽 ＋)에 붙입니다. 차트는 그림으로 복사해 점선 오른쪽 빈 곳에 붙입니다.</t>
        </is>
      </c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4" t="n"/>
    </row>
    <row r="27">
      <c r="A27" s="35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36" t="n"/>
    </row>
    <row r="28">
      <c r="A28" s="35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36" t="n"/>
    </row>
    <row r="29">
      <c r="A29" s="35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36" t="n"/>
    </row>
    <row r="30">
      <c r="A30" s="35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36" t="n"/>
    </row>
    <row r="31">
      <c r="A31" s="35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36" t="n"/>
    </row>
    <row r="32">
      <c r="A32" s="35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36" t="n"/>
    </row>
    <row r="33">
      <c r="A33" s="35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36" t="n"/>
    </row>
    <row r="34">
      <c r="A34" s="35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36" t="n"/>
    </row>
    <row r="35">
      <c r="A35" s="35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36" t="n"/>
    </row>
    <row r="36">
      <c r="A36" s="35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36" t="n"/>
    </row>
    <row r="37">
      <c r="A37" s="35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36" t="n"/>
    </row>
    <row r="38">
      <c r="A38" s="35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36" t="n"/>
    </row>
    <row r="39">
      <c r="A39" s="35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36" t="n"/>
    </row>
    <row r="40">
      <c r="A40" s="35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36" t="n"/>
    </row>
    <row r="41">
      <c r="A41" s="35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36" t="n"/>
    </row>
    <row r="42">
      <c r="A42" s="35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36" t="n"/>
    </row>
    <row r="43">
      <c r="A43" s="35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36" t="n"/>
    </row>
    <row r="44">
      <c r="A44" s="35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36" t="n"/>
    </row>
    <row r="45">
      <c r="A45" s="35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36" t="n"/>
    </row>
    <row r="46">
      <c r="A46" s="35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36" t="n"/>
    </row>
    <row r="47">
      <c r="A47" s="35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36" t="n"/>
    </row>
    <row r="48">
      <c r="A48" s="35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36" t="n"/>
    </row>
    <row r="49">
      <c r="A49" s="35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36" t="n"/>
    </row>
    <row r="50">
      <c r="A50" s="35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36" t="n"/>
    </row>
    <row r="51">
      <c r="A51" s="35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36" t="n"/>
    </row>
    <row r="52">
      <c r="A52" s="35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36" t="n"/>
    </row>
    <row r="53">
      <c r="A53" s="35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36" t="n"/>
    </row>
    <row r="54">
      <c r="A54" s="35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36" t="n"/>
    </row>
    <row r="55">
      <c r="A55" s="35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36" t="n"/>
    </row>
    <row r="56">
      <c r="A56" s="35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36" t="n"/>
    </row>
    <row r="57">
      <c r="A57" s="35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36" t="n"/>
    </row>
    <row r="58">
      <c r="A58" s="35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36" t="n"/>
    </row>
    <row r="59">
      <c r="A59" s="37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9" t="n"/>
    </row>
    <row r="60" ht="48.5" customHeight="1">
      <c r="A60" s="5" t="inlineStr">
        <is>
          <t>AI가 쓴 정의(연체를 어떻게 셌는지 · 결제조건을 어떻게 묶었는지)</t>
        </is>
      </c>
      <c r="B60" s="15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7" t="n"/>
    </row>
    <row r="61">
      <c r="A61" s="5" t="inlineStr">
        <is>
          <t>AI가 사용한 코드·계산식을 받았나요?</t>
        </is>
      </c>
      <c r="B61" s="16" t="n"/>
    </row>
    <row r="63">
      <c r="A63" s="18" t="inlineStr">
        <is>
          <t>③ AI 숫자 vs 내 피벗 숫자 — 다르면 왜 다른지 찾기</t>
        </is>
      </c>
    </row>
    <row r="64">
      <c r="A64" s="4" t="inlineStr">
        <is>
          <t>지표</t>
        </is>
      </c>
      <c r="B64" s="4" t="inlineStr">
        <is>
          <t>AI가 말한 숫자</t>
        </is>
      </c>
      <c r="C64" s="4" t="inlineStr">
        <is>
          <t>내 피벗 숫자</t>
        </is>
      </c>
      <c r="D64" s="4" t="inlineStr">
        <is>
          <t>같은가?(자동)</t>
        </is>
      </c>
      <c r="E64" s="4" t="inlineStr">
        <is>
          <t>다르면 이유</t>
        </is>
      </c>
      <c r="F64" s="6" t="n"/>
      <c r="G64" s="6" t="n"/>
      <c r="H64" s="6" t="n"/>
      <c r="I64" s="6" t="n"/>
      <c r="J64" s="6" t="n"/>
      <c r="K64" s="6" t="n"/>
      <c r="L64" s="7" t="n"/>
    </row>
    <row r="65" ht="22" customHeight="1">
      <c r="A65" s="5" t="inlineStr">
        <is>
          <t>전체 연체 바이어 비율</t>
        </is>
      </c>
      <c r="B65" s="40" t="n"/>
      <c r="C65" s="40" t="n"/>
      <c r="D65" s="41">
        <f>IF(OR(B65="",C65=""),"",IFERROR(IF(ROUND(B65,3)=ROUND(C65,3),"같음","다름"),"숫자로 입력"))</f>
        <v/>
      </c>
      <c r="E65" s="15" t="n"/>
      <c r="F65" s="6" t="n"/>
      <c r="G65" s="6" t="n"/>
      <c r="H65" s="6" t="n"/>
      <c r="I65" s="6" t="n"/>
      <c r="J65" s="6" t="n"/>
      <c r="K65" s="6" t="n"/>
      <c r="L65" s="7" t="n"/>
    </row>
    <row r="66" ht="22" customHeight="1">
      <c r="A66" s="5" t="inlineStr">
        <is>
          <t>O/A 연체 바이어 비율</t>
        </is>
      </c>
      <c r="B66" s="40" t="n"/>
      <c r="C66" s="40" t="n"/>
      <c r="D66" s="41">
        <f>IF(OR(B66="",C66=""),"",IFERROR(IF(ROUND(B66,3)=ROUND(C66,3),"같음","다름"),"숫자로 입력"))</f>
        <v/>
      </c>
      <c r="E66" s="15" t="n"/>
      <c r="F66" s="6" t="n"/>
      <c r="G66" s="6" t="n"/>
      <c r="H66" s="6" t="n"/>
      <c r="I66" s="6" t="n"/>
      <c r="J66" s="6" t="n"/>
      <c r="K66" s="6" t="n"/>
      <c r="L66" s="7" t="n"/>
    </row>
    <row r="67" ht="34" customHeight="1">
      <c r="A67" s="5" t="inlineStr">
        <is>
          <t>91일 이상(91+) 바이어 수</t>
        </is>
      </c>
      <c r="B67" s="42" t="n"/>
      <c r="C67" s="42" t="n"/>
      <c r="D67" s="41">
        <f>IF(OR(B67="",C67=""),"",IFERROR(IF(ROUND(B67,3)=ROUND(C67,3),"같음","다름"),"숫자로 입력"))</f>
        <v/>
      </c>
      <c r="E67" s="15" t="n"/>
      <c r="F67" s="6" t="n"/>
      <c r="G67" s="6" t="n"/>
      <c r="H67" s="6" t="n"/>
      <c r="I67" s="6" t="n"/>
      <c r="J67" s="6" t="n"/>
      <c r="K67" s="6" t="n"/>
      <c r="L67" s="7" t="n"/>
    </row>
    <row r="68" ht="22" customHeight="1">
      <c r="A68" s="15" t="inlineStr">
        <is>
          <t>(내가 고른 지표 1)</t>
        </is>
      </c>
      <c r="B68" s="20" t="n"/>
      <c r="C68" s="20" t="n"/>
      <c r="D68" s="41">
        <f>IF(OR(B68="",C68=""),"",IFERROR(IF(ROUND(B68,3)=ROUND(C68,3),"같음","다름"),"숫자로 입력"))</f>
        <v/>
      </c>
      <c r="E68" s="15" t="n"/>
      <c r="F68" s="6" t="n"/>
      <c r="G68" s="6" t="n"/>
      <c r="H68" s="6" t="n"/>
      <c r="I68" s="6" t="n"/>
      <c r="J68" s="6" t="n"/>
      <c r="K68" s="6" t="n"/>
      <c r="L68" s="7" t="n"/>
    </row>
    <row r="69" ht="22" customHeight="1">
      <c r="A69" s="15" t="inlineStr">
        <is>
          <t>(내가 고른 지표 2)</t>
        </is>
      </c>
      <c r="B69" s="20" t="n"/>
      <c r="C69" s="20" t="n"/>
      <c r="D69" s="41">
        <f>IF(OR(B69="",C69=""),"",IFERROR(IF(ROUND(B69,3)=ROUND(C69,3),"같음","다름"),"숫자로 입력"))</f>
        <v/>
      </c>
      <c r="E69" s="15" t="n"/>
      <c r="F69" s="6" t="n"/>
      <c r="G69" s="6" t="n"/>
      <c r="H69" s="6" t="n"/>
      <c r="I69" s="6" t="n"/>
      <c r="J69" s="6" t="n"/>
      <c r="K69" s="6" t="n"/>
      <c r="L69" s="7" t="n"/>
    </row>
    <row r="70">
      <c r="A70" s="11" t="inlineStr">
        <is>
          <t>둘 다 틀릴 수 있습니다. 다르면 AI에게 '어떻게 셌는지(정의·처리 방법)'를 먼저 물어보고, 원인을 한 줄로 적습니다. 비율은 % 기호까지(예: 12.5%), 개수는 숫자만 입력합니다. 비율은 피벗①(행 합계 비율)에서 1-30~91+를 더해 읽고, 개수는 피벗①을 잠깐 '계산 없음'으로 바꾸거나 buyers 표의 필터(▼)로 셉니다.</t>
        </is>
      </c>
    </row>
    <row r="72">
      <c r="A72" s="18" t="inlineStr">
        <is>
          <t>④ 인사이트 3개 — 숫자가 들어간 한 문장으로</t>
        </is>
      </c>
    </row>
    <row r="73">
      <c r="A73" s="4" t="inlineStr">
        <is>
          <t>#</t>
        </is>
      </c>
      <c r="B73" s="4" t="inlineStr">
        <is>
          <t>인사이트(숫자를 넣은 한 문장)</t>
        </is>
      </c>
      <c r="C73" s="6" t="n"/>
      <c r="D73" s="7" t="n"/>
      <c r="E73" s="4" t="inlineStr">
        <is>
          <t>근거(어느 표·피벗의 어떤 숫자)</t>
        </is>
      </c>
      <c r="F73" s="4" t="inlineStr">
        <is>
          <t>그래서 무엇을 할까(다음 행동·질문)</t>
        </is>
      </c>
      <c r="G73" s="6" t="n"/>
      <c r="H73" s="6" t="n"/>
      <c r="I73" s="6" t="n"/>
      <c r="J73" s="6" t="n"/>
      <c r="K73" s="6" t="n"/>
      <c r="L73" s="7" t="n"/>
    </row>
    <row r="74" ht="60" customHeight="1">
      <c r="A74" s="5" t="inlineStr">
        <is>
          <t>인사이트 1</t>
        </is>
      </c>
      <c r="B74" s="15" t="n"/>
      <c r="C74" s="6" t="n"/>
      <c r="D74" s="7" t="n"/>
      <c r="E74" s="15" t="n"/>
      <c r="F74" s="15" t="n"/>
      <c r="G74" s="6" t="n"/>
      <c r="H74" s="6" t="n"/>
      <c r="I74" s="6" t="n"/>
      <c r="J74" s="6" t="n"/>
      <c r="K74" s="6" t="n"/>
      <c r="L74" s="7" t="n"/>
    </row>
    <row r="75" ht="60" customHeight="1">
      <c r="A75" s="5" t="inlineStr">
        <is>
          <t>인사이트 2</t>
        </is>
      </c>
      <c r="B75" s="15" t="n"/>
      <c r="C75" s="6" t="n"/>
      <c r="D75" s="7" t="n"/>
      <c r="E75" s="15" t="n"/>
      <c r="F75" s="15" t="n"/>
      <c r="G75" s="6" t="n"/>
      <c r="H75" s="6" t="n"/>
      <c r="I75" s="6" t="n"/>
      <c r="J75" s="6" t="n"/>
      <c r="K75" s="6" t="n"/>
      <c r="L75" s="7" t="n"/>
    </row>
    <row r="76" ht="60" customHeight="1">
      <c r="A76" s="5" t="inlineStr">
        <is>
          <t>인사이트 3</t>
        </is>
      </c>
      <c r="B76" s="15" t="n"/>
      <c r="C76" s="6" t="n"/>
      <c r="D76" s="7" t="n"/>
      <c r="E76" s="15" t="n"/>
      <c r="F76" s="15" t="n"/>
      <c r="G76" s="6" t="n"/>
      <c r="H76" s="6" t="n"/>
      <c r="I76" s="6" t="n"/>
      <c r="J76" s="6" t="n"/>
      <c r="K76" s="6" t="n"/>
      <c r="L76" s="7" t="n"/>
    </row>
    <row r="77">
      <c r="A77" s="11" t="inlineStr">
        <is>
          <t>형식 예: '○○ 바이어 N곳 중 M곳(xx%)이 연체 — …' 처럼 내 피벗의 숫자를 넣습니다. 상관을 원인으로 단정하지 않습니다.</t>
        </is>
      </c>
    </row>
  </sheetData>
  <mergeCells count="20">
    <mergeCell ref="A25:L25"/>
    <mergeCell ref="E68:L68"/>
    <mergeCell ref="A22:G22"/>
    <mergeCell ref="B73:D73"/>
    <mergeCell ref="E67:L67"/>
    <mergeCell ref="A2:L2"/>
    <mergeCell ref="E64:L64"/>
    <mergeCell ref="F73:L73"/>
    <mergeCell ref="B74:D74"/>
    <mergeCell ref="B60:L60"/>
    <mergeCell ref="E69:L69"/>
    <mergeCell ref="E65:L65"/>
    <mergeCell ref="B76:D76"/>
    <mergeCell ref="F74:L74"/>
    <mergeCell ref="B75:D75"/>
    <mergeCell ref="A77:L77"/>
    <mergeCell ref="F76:L76"/>
    <mergeCell ref="F75:L75"/>
    <mergeCell ref="E66:L66"/>
    <mergeCell ref="A70:L70"/>
  </mergeCells>
  <conditionalFormatting sqref="D65:D69">
    <cfRule type="cellIs" priority="1" operator="equal" dxfId="2">
      <formula>"다름"</formula>
    </cfRule>
  </conditionalFormatting>
  <dataValidations count="2">
    <dataValidation sqref="G7:G21" showDropDown="0" showInputMessage="1" showErrorMessage="1" allowBlank="1" errorTitle="목록에서 고르기" error="목록(▼)에서 골라 주세요." promptTitle="원본에서 확인" prompt="AI가 말한 이상한 점을 원본 파일에서 직접 찾아봤으면 ✔, 원본에 없으면 ✘." type="list" errorStyle="stop">
      <formula1>"✔,✘"</formula1>
    </dataValidation>
    <dataValidation sqref="B61" showDropDown="0" showInputMessage="1" showErrorMessage="1" allowBlank="1" errorTitle="목록에서 고르기" error="목록(▼)에서 골라 주세요." promptTitle="코드 받기" prompt="'사용한 코드와 계산식을 보여 줘' — 이 한 문장이 검증 가능성을 만듭니다(슬라이드 27)." type="list" errorStyle="stop">
      <formula1>"예,아니오"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Q77"/>
  <sheetViews>
    <sheetView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12" customWidth="1" min="8" max="8"/>
    <col width="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04_피벗 · 피벗 3개 + 차트 (Lab2)</t>
        </is>
      </c>
    </row>
    <row r="2" ht="30" customHeight="1">
      <c r="A2" s="2" t="inlineStr">
        <is>
          <t>buyers 시트의 표(tbl_buyers)로 피벗 테이블 3개와 차트를 이 시트의 정해진 자리에 만듭니다. 피벗을 만들 때 '기존 워크시트'를 고르고, 위치 칸에는 아래 ▼ 표시 바로 밑 칸을 클릭하세요.</t>
        </is>
      </c>
    </row>
    <row r="3">
      <c r="A3" s="3" t="inlineStr">
        <is>
          <t>▼ 표시 바로 아래 칸 = 피벗 위치 · 점선 칸 = 차트 놓을 자리 · 저장: [파일] → [다른 이름으로 저장] → d1_end_eda__T조-번호.xlsx</t>
        </is>
      </c>
    </row>
    <row r="5">
      <c r="A5" s="18" t="inlineStr">
        <is>
          <t>만드는 순서(피벗 3개 공통)</t>
        </is>
      </c>
    </row>
    <row r="6" ht="19.5" customHeight="1">
      <c r="A6" s="10" t="inlineStr">
        <is>
          <t>1. buyers 시트의 표(tbl_buyers) 안 아무 칸을 클릭합니다.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 t="n"/>
    </row>
    <row r="7" ht="19.5" customHeight="1">
      <c r="A7" s="10" t="inlineStr">
        <is>
          <t>2. 리본 [삽입] → [피벗 테이블]을 누릅니다(버전에 따라 → '테이블/범위에서').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7" t="n"/>
    </row>
    <row r="8" ht="19.5" customHeight="1">
      <c r="A8" s="10" t="inlineStr">
        <is>
          <t>3. '표 또는 범위'가 tbl_buyers인지 확인합니다.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7" t="n"/>
    </row>
    <row r="9" ht="19.5" customHeight="1">
      <c r="A9" s="10" t="inlineStr">
        <is>
          <t>4. '기존 워크시트'를 고르고 '위치' 칸을 클릭한 뒤, 이 시트(04_피벗)의 해당 칸(아래 표의 '만들 위치')을 클릭 → [확인].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7" t="n"/>
    </row>
    <row r="10" ht="19.5" customHeight="1">
      <c r="A10" s="10" t="inlineStr">
        <is>
          <t>5. 오른쪽 '피벗 테이블 필드' 창에서 필드를 아래 표대로 행·열·값 상자로 끌어 넣습니다.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7" t="n"/>
    </row>
    <row r="11"/>
    <row r="12" ht="19.5" customHeight="1">
      <c r="A12" s="4" t="inlineStr">
        <is>
          <t>피벗</t>
        </is>
      </c>
      <c r="B12" s="4" t="inlineStr">
        <is>
          <t>만들 위치</t>
        </is>
      </c>
      <c r="C12" s="4" t="inlineStr">
        <is>
          <t>행</t>
        </is>
      </c>
      <c r="D12" s="4" t="inlineStr">
        <is>
          <t>열</t>
        </is>
      </c>
      <c r="E12" s="4" t="inlineStr">
        <is>
          <t>값</t>
        </is>
      </c>
      <c r="F12" s="4" t="inlineStr">
        <is>
          <t>마무리(값 표시 형식·필터)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7" t="n"/>
    </row>
    <row r="13" ht="34" customHeight="1">
      <c r="A13" s="5" t="inlineStr">
        <is>
          <t>① 결제방식 × 연체구간</t>
        </is>
      </c>
      <c r="B13" s="9" t="inlineStr">
        <is>
          <t>04_피벗!A22</t>
        </is>
      </c>
      <c r="C13" s="9" t="inlineStr">
        <is>
          <t>payment_method</t>
        </is>
      </c>
      <c r="D13" s="9" t="inlineStr">
        <is>
          <t>aging_bucket</t>
        </is>
      </c>
      <c r="E13" s="9" t="inlineStr">
        <is>
          <t>buyer_id (개수)</t>
        </is>
      </c>
      <c r="F13" s="9" t="inlineStr">
        <is>
          <t>값 상자의 '개수: buyer_id' 클릭 → [값 필드 설정] → [값 표시 형식] 탭 → '행 합계 비율' → [확인]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7" t="n"/>
    </row>
    <row r="14" ht="34" customHeight="1">
      <c r="A14" s="5" t="inlineStr">
        <is>
          <t>② 국가별 연체율 상위 10</t>
        </is>
      </c>
      <c r="B14" s="9" t="inlineStr">
        <is>
          <t>04_피벗!A42</t>
        </is>
      </c>
      <c r="C14" s="9" t="inlineStr">
        <is>
          <t>country_code</t>
        </is>
      </c>
      <c r="D14" s="9" t="inlineStr">
        <is>
          <t>(없음)</t>
        </is>
      </c>
      <c r="E14" s="9" t="inlineStr">
        <is>
          <t>is_overdue (평균), dpd_num (평균)</t>
        </is>
      </c>
      <c r="F14" s="9" t="inlineStr">
        <is>
          <t>값이 '개수'로 들어가면 [값 필드 설정] → '평균'. 행 레이블 ▼ → [값 필터] → [상위 10] → 기준 '평균: is_overdue' → [확인]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7" t="n"/>
    </row>
    <row r="15" ht="19.5" customHeight="1">
      <c r="A15" s="5" t="inlineStr">
        <is>
          <t>③ 권역 × 보험 가입</t>
        </is>
      </c>
      <c r="B15" s="9" t="inlineStr">
        <is>
          <t>04_피벗!A62</t>
        </is>
      </c>
      <c r="C15" s="9" t="inlineStr">
        <is>
          <t>region</t>
        </is>
      </c>
      <c r="D15" s="9" t="inlineStr">
        <is>
          <t>ksure_insured</t>
        </is>
      </c>
      <c r="E15" s="9" t="inlineStr">
        <is>
          <t>buyer_id (개수)</t>
        </is>
      </c>
      <c r="F15" s="9" t="inlineStr">
        <is>
          <t>그대로 둡니다(바이어 수).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7" t="n"/>
    </row>
    <row r="16" ht="34" customHeight="1">
      <c r="A16" s="5" t="inlineStr">
        <is>
          <t>차트(피벗①)</t>
        </is>
      </c>
      <c r="B16" s="9" t="inlineStr">
        <is>
          <t>J22 근처</t>
        </is>
      </c>
      <c r="C16" s="9" t="inlineStr"/>
      <c r="D16" s="9" t="inlineStr"/>
      <c r="E16" s="9" t="inlineStr"/>
      <c r="F16" s="9" t="inlineStr">
        <is>
          <t>피벗① 안을 클릭 → [피벗 테이블 분석] → [피벗 차트] → [가로 막대형] → [100% 기준 누적 가로 막대형] → [확인] → 차트를 오른쪽 점선 칸으로 끌어 놓기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7" t="n"/>
    </row>
    <row r="17" ht="19.5" customHeight="1">
      <c r="A17" s="5" t="inlineStr">
        <is>
          <t>슬라이서(선택)</t>
        </is>
      </c>
      <c r="B17" s="9" t="inlineStr">
        <is>
          <t>J62 근처</t>
        </is>
      </c>
      <c r="C17" s="9" t="inlineStr"/>
      <c r="D17" s="9" t="inlineStr"/>
      <c r="E17" s="9" t="inlineStr"/>
      <c r="F17" s="9" t="inlineStr">
        <is>
          <t>피벗① 안을 클릭 → [피벗 테이블 분석] → [슬라이서 삽입] → region 체크 → [확인]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7" t="n"/>
    </row>
    <row r="18" ht="48.5" customHeight="1">
      <c r="A18" s="5" t="inlineStr">
        <is>
          <t>Orange(선택)</t>
        </is>
      </c>
      <c r="B18" s="9" t="inlineStr">
        <is>
          <t>J62 근처</t>
        </is>
      </c>
      <c r="C18" s="9" t="inlineStr"/>
      <c r="D18" s="9" t="inlineStr"/>
      <c r="E18" s="9" t="inlineStr"/>
      <c r="F18" s="9" t="inlineStr">
        <is>
          <t>buyers 표에 새 열 4개를 만든 뒤 이 파일을 저장 → Orange [File] 위젯에서 이 파일을 열고 Sheet를 buyers로 고름 → payment_method는 categorical, dpd_num은 numeric으로 → [Box Plot] 연결(Variable = dpd_num, Subgroups = payment_method) → 창을 캡처해 점선 칸에 붙여 넣기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7" t="n"/>
    </row>
    <row r="19" ht="31" customHeight="1">
      <c r="A19" s="11" t="inlineStr">
        <is>
          <t>팁: 열이 1-30 · 31-60 · … · Current 순서로 보이면 'Current' 머리글 칸을 클릭 → 칸 테두리를 잡고 '1-30' 왼쪽으로 끌어 옮깁니다. '피벗 테이블 보고서는 겹칠 수 없습니다'가 뜨면 [피벗 테이블 분석] → [피벗 테이블 이동]으로 더 아래 빈칸에 둡니다. 피벗②는 상위 10 필터를 걸기 전에는 나라가 모두 보여 61행 안내 글까지 내려옵니다 — '이미 데이터가 있습니다. 바꾸시겠습니까?' 창이 뜨면 [확인]을 누릅니다(안내 글만 덮이고, 상위 10 필터를 걸면 다시 짧아집니다).</t>
        </is>
      </c>
    </row>
    <row r="21">
      <c r="A21" s="18" t="inlineStr">
        <is>
          <t>▼ 피벗① 결제방식 × 연체구간(행 합계 비율) — 위치: A22(이 줄 바로 아래 칸)</t>
        </is>
      </c>
      <c r="J21" s="18" t="inlineStr">
        <is>
          <t>▼ 차트① 100% 기준 누적 가로 막대 — 이 점선 칸에 놓기</t>
        </is>
      </c>
    </row>
    <row r="22">
      <c r="J22" s="43" t="n"/>
      <c r="K22" s="44" t="n"/>
      <c r="L22" s="44" t="n"/>
      <c r="M22" s="44" t="n"/>
      <c r="N22" s="44" t="n"/>
      <c r="O22" s="44" t="n"/>
      <c r="P22" s="44" t="n"/>
      <c r="Q22" s="45" t="n"/>
    </row>
    <row r="23">
      <c r="J23" s="46" t="n"/>
      <c r="K23" s="47" t="n"/>
      <c r="L23" s="47" t="n"/>
      <c r="M23" s="47" t="n"/>
      <c r="N23" s="47" t="n"/>
      <c r="O23" s="47" t="n"/>
      <c r="P23" s="47" t="n"/>
      <c r="Q23" s="48" t="n"/>
    </row>
    <row r="24">
      <c r="J24" s="46" t="n"/>
      <c r="K24" s="47" t="n"/>
      <c r="L24" s="47" t="n"/>
      <c r="M24" s="47" t="n"/>
      <c r="N24" s="47" t="n"/>
      <c r="O24" s="47" t="n"/>
      <c r="P24" s="47" t="n"/>
      <c r="Q24" s="48" t="n"/>
    </row>
    <row r="25">
      <c r="J25" s="46" t="n"/>
      <c r="K25" s="47" t="n"/>
      <c r="L25" s="47" t="n"/>
      <c r="M25" s="47" t="n"/>
      <c r="N25" s="47" t="n"/>
      <c r="O25" s="47" t="n"/>
      <c r="P25" s="47" t="n"/>
      <c r="Q25" s="48" t="n"/>
    </row>
    <row r="26">
      <c r="J26" s="46" t="n"/>
      <c r="K26" s="47" t="n"/>
      <c r="L26" s="47" t="n"/>
      <c r="M26" s="47" t="n"/>
      <c r="N26" s="47" t="n"/>
      <c r="O26" s="47" t="n"/>
      <c r="P26" s="47" t="n"/>
      <c r="Q26" s="48" t="n"/>
    </row>
    <row r="27">
      <c r="J27" s="46" t="n"/>
      <c r="K27" s="47" t="n"/>
      <c r="L27" s="47" t="n"/>
      <c r="M27" s="47" t="n"/>
      <c r="N27" s="47" t="n"/>
      <c r="O27" s="47" t="n"/>
      <c r="P27" s="47" t="n"/>
      <c r="Q27" s="48" t="n"/>
    </row>
    <row r="28">
      <c r="J28" s="46" t="n"/>
      <c r="K28" s="47" t="n"/>
      <c r="L28" s="47" t="n"/>
      <c r="M28" s="47" t="n"/>
      <c r="N28" s="47" t="n"/>
      <c r="O28" s="47" t="n"/>
      <c r="P28" s="47" t="n"/>
      <c r="Q28" s="48" t="n"/>
    </row>
    <row r="29">
      <c r="J29" s="46" t="n"/>
      <c r="K29" s="47" t="n"/>
      <c r="L29" s="47" t="n"/>
      <c r="M29" s="47" t="n"/>
      <c r="N29" s="47" t="n"/>
      <c r="O29" s="47" t="n"/>
      <c r="P29" s="47" t="n"/>
      <c r="Q29" s="48" t="n"/>
    </row>
    <row r="30">
      <c r="J30" s="46" t="n"/>
      <c r="K30" s="47" t="n"/>
      <c r="L30" s="47" t="n"/>
      <c r="M30" s="47" t="n"/>
      <c r="N30" s="47" t="n"/>
      <c r="O30" s="47" t="n"/>
      <c r="P30" s="47" t="n"/>
      <c r="Q30" s="48" t="n"/>
    </row>
    <row r="31">
      <c r="J31" s="46" t="n"/>
      <c r="K31" s="47" t="n"/>
      <c r="L31" s="47" t="n"/>
      <c r="M31" s="47" t="n"/>
      <c r="N31" s="47" t="n"/>
      <c r="O31" s="47" t="n"/>
      <c r="P31" s="47" t="n"/>
      <c r="Q31" s="48" t="n"/>
    </row>
    <row r="32">
      <c r="J32" s="46" t="n"/>
      <c r="K32" s="47" t="n"/>
      <c r="L32" s="47" t="n"/>
      <c r="M32" s="47" t="n"/>
      <c r="N32" s="47" t="n"/>
      <c r="O32" s="47" t="n"/>
      <c r="P32" s="47" t="n"/>
      <c r="Q32" s="48" t="n"/>
    </row>
    <row r="33">
      <c r="J33" s="46" t="n"/>
      <c r="K33" s="47" t="n"/>
      <c r="L33" s="47" t="n"/>
      <c r="M33" s="47" t="n"/>
      <c r="N33" s="47" t="n"/>
      <c r="O33" s="47" t="n"/>
      <c r="P33" s="47" t="n"/>
      <c r="Q33" s="48" t="n"/>
    </row>
    <row r="34">
      <c r="J34" s="46" t="n"/>
      <c r="K34" s="47" t="n"/>
      <c r="L34" s="47" t="n"/>
      <c r="M34" s="47" t="n"/>
      <c r="N34" s="47" t="n"/>
      <c r="O34" s="47" t="n"/>
      <c r="P34" s="47" t="n"/>
      <c r="Q34" s="48" t="n"/>
    </row>
    <row r="35">
      <c r="J35" s="46" t="n"/>
      <c r="K35" s="47" t="n"/>
      <c r="L35" s="47" t="n"/>
      <c r="M35" s="47" t="n"/>
      <c r="N35" s="47" t="n"/>
      <c r="O35" s="47" t="n"/>
      <c r="P35" s="47" t="n"/>
      <c r="Q35" s="48" t="n"/>
    </row>
    <row r="36">
      <c r="J36" s="46" t="n"/>
      <c r="K36" s="47" t="n"/>
      <c r="L36" s="47" t="n"/>
      <c r="M36" s="47" t="n"/>
      <c r="N36" s="47" t="n"/>
      <c r="O36" s="47" t="n"/>
      <c r="P36" s="47" t="n"/>
      <c r="Q36" s="48" t="n"/>
    </row>
    <row r="37">
      <c r="J37" s="49" t="n"/>
      <c r="K37" s="50" t="n"/>
      <c r="L37" s="50" t="n"/>
      <c r="M37" s="50" t="n"/>
      <c r="N37" s="50" t="n"/>
      <c r="O37" s="50" t="n"/>
      <c r="P37" s="50" t="n"/>
      <c r="Q37" s="51" t="n"/>
    </row>
    <row r="41">
      <c r="A41" s="18" t="inlineStr">
        <is>
          <t>▼ 피벗② 국가별 연체 바이어 비율 상위 10 — 위치: A42(이 줄 바로 아래 칸)</t>
        </is>
      </c>
    </row>
    <row r="61">
      <c r="A61" s="18" t="inlineStr">
        <is>
          <t>▼ 피벗③ 권역 × 보험 가입(ksure_insured) — 위치: A62(이 줄 바로 아래 칸)</t>
        </is>
      </c>
      <c r="J61" s="18" t="inlineStr">
        <is>
          <t>▼ (선택) 슬라이서 · Orange 캡처 — 이 점선 칸에 놓기</t>
        </is>
      </c>
    </row>
    <row r="62">
      <c r="J62" s="43" t="n"/>
      <c r="K62" s="44" t="n"/>
      <c r="L62" s="44" t="n"/>
      <c r="M62" s="44" t="n"/>
      <c r="N62" s="44" t="n"/>
      <c r="O62" s="44" t="n"/>
      <c r="P62" s="44" t="n"/>
      <c r="Q62" s="45" t="n"/>
    </row>
    <row r="63">
      <c r="J63" s="46" t="n"/>
      <c r="K63" s="47" t="n"/>
      <c r="L63" s="47" t="n"/>
      <c r="M63" s="47" t="n"/>
      <c r="N63" s="47" t="n"/>
      <c r="O63" s="47" t="n"/>
      <c r="P63" s="47" t="n"/>
      <c r="Q63" s="48" t="n"/>
    </row>
    <row r="64">
      <c r="J64" s="46" t="n"/>
      <c r="K64" s="47" t="n"/>
      <c r="L64" s="47" t="n"/>
      <c r="M64" s="47" t="n"/>
      <c r="N64" s="47" t="n"/>
      <c r="O64" s="47" t="n"/>
      <c r="P64" s="47" t="n"/>
      <c r="Q64" s="48" t="n"/>
    </row>
    <row r="65">
      <c r="J65" s="46" t="n"/>
      <c r="K65" s="47" t="n"/>
      <c r="L65" s="47" t="n"/>
      <c r="M65" s="47" t="n"/>
      <c r="N65" s="47" t="n"/>
      <c r="O65" s="47" t="n"/>
      <c r="P65" s="47" t="n"/>
      <c r="Q65" s="48" t="n"/>
    </row>
    <row r="66">
      <c r="J66" s="46" t="n"/>
      <c r="K66" s="47" t="n"/>
      <c r="L66" s="47" t="n"/>
      <c r="M66" s="47" t="n"/>
      <c r="N66" s="47" t="n"/>
      <c r="O66" s="47" t="n"/>
      <c r="P66" s="47" t="n"/>
      <c r="Q66" s="48" t="n"/>
    </row>
    <row r="67">
      <c r="J67" s="46" t="n"/>
      <c r="K67" s="47" t="n"/>
      <c r="L67" s="47" t="n"/>
      <c r="M67" s="47" t="n"/>
      <c r="N67" s="47" t="n"/>
      <c r="O67" s="47" t="n"/>
      <c r="P67" s="47" t="n"/>
      <c r="Q67" s="48" t="n"/>
    </row>
    <row r="68">
      <c r="J68" s="46" t="n"/>
      <c r="K68" s="47" t="n"/>
      <c r="L68" s="47" t="n"/>
      <c r="M68" s="47" t="n"/>
      <c r="N68" s="47" t="n"/>
      <c r="O68" s="47" t="n"/>
      <c r="P68" s="47" t="n"/>
      <c r="Q68" s="48" t="n"/>
    </row>
    <row r="69">
      <c r="J69" s="46" t="n"/>
      <c r="K69" s="47" t="n"/>
      <c r="L69" s="47" t="n"/>
      <c r="M69" s="47" t="n"/>
      <c r="N69" s="47" t="n"/>
      <c r="O69" s="47" t="n"/>
      <c r="P69" s="47" t="n"/>
      <c r="Q69" s="48" t="n"/>
    </row>
    <row r="70">
      <c r="J70" s="46" t="n"/>
      <c r="K70" s="47" t="n"/>
      <c r="L70" s="47" t="n"/>
      <c r="M70" s="47" t="n"/>
      <c r="N70" s="47" t="n"/>
      <c r="O70" s="47" t="n"/>
      <c r="P70" s="47" t="n"/>
      <c r="Q70" s="48" t="n"/>
    </row>
    <row r="71">
      <c r="J71" s="46" t="n"/>
      <c r="K71" s="47" t="n"/>
      <c r="L71" s="47" t="n"/>
      <c r="M71" s="47" t="n"/>
      <c r="N71" s="47" t="n"/>
      <c r="O71" s="47" t="n"/>
      <c r="P71" s="47" t="n"/>
      <c r="Q71" s="48" t="n"/>
    </row>
    <row r="72">
      <c r="J72" s="46" t="n"/>
      <c r="K72" s="47" t="n"/>
      <c r="L72" s="47" t="n"/>
      <c r="M72" s="47" t="n"/>
      <c r="N72" s="47" t="n"/>
      <c r="O72" s="47" t="n"/>
      <c r="P72" s="47" t="n"/>
      <c r="Q72" s="48" t="n"/>
    </row>
    <row r="73">
      <c r="J73" s="46" t="n"/>
      <c r="K73" s="47" t="n"/>
      <c r="L73" s="47" t="n"/>
      <c r="M73" s="47" t="n"/>
      <c r="N73" s="47" t="n"/>
      <c r="O73" s="47" t="n"/>
      <c r="P73" s="47" t="n"/>
      <c r="Q73" s="48" t="n"/>
    </row>
    <row r="74">
      <c r="J74" s="46" t="n"/>
      <c r="K74" s="47" t="n"/>
      <c r="L74" s="47" t="n"/>
      <c r="M74" s="47" t="n"/>
      <c r="N74" s="47" t="n"/>
      <c r="O74" s="47" t="n"/>
      <c r="P74" s="47" t="n"/>
      <c r="Q74" s="48" t="n"/>
    </row>
    <row r="75">
      <c r="J75" s="46" t="n"/>
      <c r="K75" s="47" t="n"/>
      <c r="L75" s="47" t="n"/>
      <c r="M75" s="47" t="n"/>
      <c r="N75" s="47" t="n"/>
      <c r="O75" s="47" t="n"/>
      <c r="P75" s="47" t="n"/>
      <c r="Q75" s="48" t="n"/>
    </row>
    <row r="76">
      <c r="J76" s="46" t="n"/>
      <c r="K76" s="47" t="n"/>
      <c r="L76" s="47" t="n"/>
      <c r="M76" s="47" t="n"/>
      <c r="N76" s="47" t="n"/>
      <c r="O76" s="47" t="n"/>
      <c r="P76" s="47" t="n"/>
      <c r="Q76" s="48" t="n"/>
    </row>
    <row r="77">
      <c r="J77" s="49" t="n"/>
      <c r="K77" s="50" t="n"/>
      <c r="L77" s="50" t="n"/>
      <c r="M77" s="50" t="n"/>
      <c r="N77" s="50" t="n"/>
      <c r="O77" s="50" t="n"/>
      <c r="P77" s="50" t="n"/>
      <c r="Q77" s="51" t="n"/>
    </row>
  </sheetData>
  <mergeCells count="14">
    <mergeCell ref="A8:Q8"/>
    <mergeCell ref="A6:Q6"/>
    <mergeCell ref="F12:Q12"/>
    <mergeCell ref="A9:Q9"/>
    <mergeCell ref="F16:Q16"/>
    <mergeCell ref="A7:Q7"/>
    <mergeCell ref="F18:Q18"/>
    <mergeCell ref="A2:Q2"/>
    <mergeCell ref="F14:Q14"/>
    <mergeCell ref="A10:Q10"/>
    <mergeCell ref="F13:Q13"/>
    <mergeCell ref="A19:Q19"/>
    <mergeCell ref="F17:Q17"/>
    <mergeCell ref="F15:Q15"/>
  </mergeCell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B6475"/>
    <outlinePr summaryBelow="1" summaryRight="1"/>
    <pageSetUpPr fitToPage="1"/>
  </sheetPr>
  <dimension ref="A1:G23"/>
  <sheetViews>
    <sheetView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4" customWidth="1" min="4" max="4"/>
    <col width="26" customWidth="1" min="5" max="5"/>
    <col width="18" customWidth="1" min="6" max="6"/>
    <col width="46" customWidth="1" min="7" max="7"/>
  </cols>
  <sheetData>
    <row r="1" ht="24" customHeight="1">
      <c r="A1" s="1" t="inlineStr">
        <is>
          <t>05_변수정의서 · 숫자 하나에도 7가지 약속 (선택 과제)</t>
        </is>
      </c>
    </row>
    <row r="2" ht="35" customHeight="1">
      <c r="A2" s="2" t="inlineStr">
        <is>
          <t>(선택) 변수마다 변수·정의·공식·단위·출처·기준일·주의 7칸을 적습니다. 위 3줄은 슬라이드 34와 같습니다. 주황색 '빈칸 채우기' 칸을 채워 보세요 — AI에게 계산을 시킬 때 이 7칸을 같이 주고, 내일(Day2) 데이터 사전의 출발점이 됩니다.</t>
        </is>
      </c>
    </row>
    <row r="3">
      <c r="A3" s="3" t="inlineStr">
        <is>
          <t>주황 칸 = 빈칸 채우기 · 노란 칸 = 내가 추가할 변수 · 저장: [파일] → [다른 이름으로 저장] → d1_end_eda__T조-번호.xlsx</t>
        </is>
      </c>
    </row>
    <row r="5" ht="20" customHeight="1">
      <c r="A5" s="4" t="inlineStr">
        <is>
          <t>변수</t>
        </is>
      </c>
      <c r="B5" s="4" t="inlineStr">
        <is>
          <t>정의</t>
        </is>
      </c>
      <c r="C5" s="4" t="inlineStr">
        <is>
          <t>공식</t>
        </is>
      </c>
      <c r="D5" s="4" t="inlineStr">
        <is>
          <t>단위</t>
        </is>
      </c>
      <c r="E5" s="4" t="inlineStr">
        <is>
          <t>출처</t>
        </is>
      </c>
      <c r="F5" s="4" t="inlineStr">
        <is>
          <t>기준일</t>
        </is>
      </c>
      <c r="G5" s="4" t="inlineStr">
        <is>
          <t>주의</t>
        </is>
      </c>
    </row>
    <row r="6" ht="20" customHeight="1">
      <c r="A6" s="5" t="inlineStr">
        <is>
          <t>current_ratio (유동비율)</t>
        </is>
      </c>
      <c r="B6" s="9" t="inlineStr">
        <is>
          <t>단기 지급능력</t>
        </is>
      </c>
      <c r="C6" s="9" t="inlineStr">
        <is>
          <t>유동자산 ÷ 유동부채</t>
        </is>
      </c>
      <c r="D6" s="9" t="inlineStr">
        <is>
          <t>배</t>
        </is>
      </c>
      <c r="E6" s="9" t="inlineStr">
        <is>
          <t>재무제표</t>
        </is>
      </c>
      <c r="F6" s="9" t="inlineStr">
        <is>
          <t>회계연도 말</t>
        </is>
      </c>
      <c r="G6" s="9" t="inlineStr">
        <is>
          <t>업종별 차이</t>
        </is>
      </c>
    </row>
    <row r="7" ht="20" customHeight="1">
      <c r="A7" s="5" t="inlineStr">
        <is>
          <t>debt_to_equity (부채비율)</t>
        </is>
      </c>
      <c r="B7" s="9" t="inlineStr">
        <is>
          <t>재무 레버리지</t>
        </is>
      </c>
      <c r="C7" s="9" t="inlineStr">
        <is>
          <t>총부채 ÷ 자기자본</t>
        </is>
      </c>
      <c r="D7" s="9" t="inlineStr">
        <is>
          <t>배</t>
        </is>
      </c>
      <c r="E7" s="9" t="inlineStr">
        <is>
          <t>재무제표</t>
        </is>
      </c>
      <c r="F7" s="9" t="inlineStr">
        <is>
          <t>회계연도 말</t>
        </is>
      </c>
      <c r="G7" s="9" t="inlineStr">
        <is>
          <t>자본이 음수면 해석 불가 → 따로 표시</t>
        </is>
      </c>
    </row>
    <row r="8" ht="20" customHeight="1">
      <c r="A8" s="5" t="inlineStr">
        <is>
          <t>dso_days (매출채권회전일)</t>
        </is>
      </c>
      <c r="B8" s="9" t="inlineStr">
        <is>
          <t>외상 회수 속도</t>
        </is>
      </c>
      <c r="C8" s="9" t="inlineStr">
        <is>
          <t>매출채권 ÷ 매출 × 365</t>
        </is>
      </c>
      <c r="D8" s="9" t="inlineStr">
        <is>
          <t>일</t>
        </is>
      </c>
      <c r="E8" s="9" t="inlineStr">
        <is>
          <t>재무제표</t>
        </is>
      </c>
      <c r="F8" s="9" t="inlineStr">
        <is>
          <t>기간 일치</t>
        </is>
      </c>
      <c r="G8" s="9" t="inlineStr">
        <is>
          <t>분기 매출을 쓰면 4배 왜곡</t>
        </is>
      </c>
    </row>
    <row r="9" ht="20" customHeight="1">
      <c r="A9" s="5" t="inlineStr">
        <is>
          <t>op_margin (영업이익률)</t>
        </is>
      </c>
      <c r="B9" s="52" t="inlineStr">
        <is>
          <t>빈칸 채우기</t>
        </is>
      </c>
      <c r="C9" s="9" t="inlineStr">
        <is>
          <t>영업이익 ÷ 매출 × 100</t>
        </is>
      </c>
      <c r="D9" s="9" t="inlineStr">
        <is>
          <t>%</t>
        </is>
      </c>
      <c r="E9" s="9" t="inlineStr">
        <is>
          <t>재무제표(손익계산서)</t>
        </is>
      </c>
      <c r="F9" s="9" t="inlineStr">
        <is>
          <t>회계연도(1년)</t>
        </is>
      </c>
      <c r="G9" s="52" t="inlineStr">
        <is>
          <t>빈칸 채우기</t>
        </is>
      </c>
    </row>
    <row r="10" ht="34" customHeight="1">
      <c r="A10" s="5" t="inlineStr">
        <is>
          <t>payment_method (결제방식)</t>
        </is>
      </c>
      <c r="B10" s="9" t="inlineStr">
        <is>
          <t>대금을 받는 방식 — 정본 코드 7개</t>
        </is>
      </c>
      <c r="C10" s="52" t="inlineStr">
        <is>
          <t>빈칸 채우기</t>
        </is>
      </c>
      <c r="D10" s="9" t="inlineStr">
        <is>
          <t>코드</t>
        </is>
      </c>
      <c r="E10" s="9" t="inlineStr">
        <is>
          <t>d1_buyers_raw + 00_코드표</t>
        </is>
      </c>
      <c r="F10" s="9" t="inlineStr">
        <is>
          <t>2026-09-30(스냅샷 기준일)</t>
        </is>
      </c>
      <c r="G10" s="52" t="inlineStr">
        <is>
          <t>빈칸 채우기</t>
        </is>
      </c>
    </row>
    <row r="11" ht="34" customHeight="1">
      <c r="A11" s="5" t="inlineStr">
        <is>
          <t>max_dpd_days (최악 연체일수)</t>
        </is>
      </c>
      <c r="B11" s="9" t="inlineStr">
        <is>
          <t>결제기일이 지난 미결 인보이스 중 가장 오래 밀린 날수</t>
        </is>
      </c>
      <c r="C11" s="9" t="inlineStr">
        <is>
          <t>max(0, 기준일 − 결제기일)</t>
        </is>
      </c>
      <c r="D11" s="52" t="inlineStr">
        <is>
          <t>빈칸 채우기</t>
        </is>
      </c>
      <c r="E11" s="9" t="inlineStr">
        <is>
          <t>d1_buyers_raw(인보이스 원장에서 계산)</t>
        </is>
      </c>
      <c r="F11" s="52" t="inlineStr">
        <is>
          <t>빈칸 채우기</t>
        </is>
      </c>
      <c r="G11" s="52" t="inlineStr">
        <is>
          <t>빈칸 채우기</t>
        </is>
      </c>
    </row>
    <row r="12" ht="20" customHeight="1">
      <c r="A12" s="5" t="inlineStr">
        <is>
          <t>dpd_num (연체일수·숫자)</t>
        </is>
      </c>
      <c r="B12" s="52" t="inlineStr">
        <is>
          <t>빈칸 채우기</t>
        </is>
      </c>
      <c r="C12" s="9" t="inlineStr">
        <is>
          <t>=IFERROR(--[@max_dpd_days],"")</t>
        </is>
      </c>
      <c r="D12" s="9" t="inlineStr">
        <is>
          <t>일</t>
        </is>
      </c>
      <c r="E12" s="9" t="inlineStr">
        <is>
          <t>엑셀 계산(tbl_buyers)</t>
        </is>
      </c>
      <c r="F12" s="9" t="inlineStr">
        <is>
          <t>2026-09-30</t>
        </is>
      </c>
      <c r="G12" s="52" t="inlineStr">
        <is>
          <t>빈칸 채우기</t>
        </is>
      </c>
    </row>
    <row r="13" ht="34" customHeight="1">
      <c r="A13" s="5" t="inlineStr">
        <is>
          <t>aging_bucket (연체 구간)</t>
        </is>
      </c>
      <c r="B13" s="9" t="inlineStr">
        <is>
          <t>바이어의 최악 연체일 기준 구간</t>
        </is>
      </c>
      <c r="C13" s="52" t="inlineStr">
        <is>
          <t>빈칸 채우기</t>
        </is>
      </c>
      <c r="D13" s="9" t="inlineStr">
        <is>
          <t>구간</t>
        </is>
      </c>
      <c r="E13" s="9" t="inlineStr">
        <is>
          <t>엑셀 계산(tbl_buyers)</t>
        </is>
      </c>
      <c r="F13" s="9" t="inlineStr">
        <is>
          <t>2026-09-30</t>
        </is>
      </c>
      <c r="G13" s="9" t="inlineStr">
        <is>
          <t>바이어 단위(가장 오래된 1건) 구간 — 인보이스 단위 에이징과 다르다</t>
        </is>
      </c>
    </row>
    <row r="14" ht="20" customHeight="1">
      <c r="A14" s="5" t="inlineStr">
        <is>
          <t>is_overdue (연체 여부)</t>
        </is>
      </c>
      <c r="B14" s="9" t="inlineStr">
        <is>
          <t>연체 바이어면 1, 아니면 0</t>
        </is>
      </c>
      <c r="C14" s="9" t="inlineStr">
        <is>
          <t>dpd_num &gt; 0 이면 1</t>
        </is>
      </c>
      <c r="D14" s="52" t="inlineStr">
        <is>
          <t>빈칸 채우기</t>
        </is>
      </c>
      <c r="E14" s="9" t="inlineStr">
        <is>
          <t>엑셀 계산(tbl_buyers)</t>
        </is>
      </c>
      <c r="F14" s="9" t="inlineStr">
        <is>
          <t>2026-09-30</t>
        </is>
      </c>
      <c r="G14" s="52" t="inlineStr">
        <is>
          <t>빈칸 채우기</t>
        </is>
      </c>
    </row>
    <row r="15" ht="34" customHeight="1">
      <c r="A15" s="5" t="inlineStr">
        <is>
          <t>overdue_buyer_ratio (연체 바이어 비율)</t>
        </is>
      </c>
      <c r="B15" s="9" t="inlineStr">
        <is>
          <t>바이어 중 연체 바이어의 비중(바이어 수 기준)</t>
        </is>
      </c>
      <c r="C15" s="52" t="inlineStr">
        <is>
          <t>빈칸 채우기</t>
        </is>
      </c>
      <c r="D15" s="9" t="inlineStr">
        <is>
          <t>%</t>
        </is>
      </c>
      <c r="E15" s="9" t="inlineStr">
        <is>
          <t>04_피벗 피벗②(is_overdue 평균)</t>
        </is>
      </c>
      <c r="F15" s="9" t="inlineStr">
        <is>
          <t>2026-09-30</t>
        </is>
      </c>
      <c r="G15" s="52" t="inlineStr">
        <is>
          <t>빈칸 채우기</t>
        </is>
      </c>
    </row>
    <row r="16" ht="20" customHeight="1">
      <c r="A16" s="5" t="inlineStr">
        <is>
          <t>ar_balance (매출채권 잔액)</t>
        </is>
      </c>
      <c r="B16" s="9" t="inlineStr">
        <is>
          <t>기준일 미결제 잔액</t>
        </is>
      </c>
      <c r="C16" s="9" t="inlineStr">
        <is>
          <t>미결 인보이스 잔액 합계</t>
        </is>
      </c>
      <c r="D16" s="52" t="inlineStr">
        <is>
          <t>빈칸 채우기</t>
        </is>
      </c>
      <c r="E16" s="9" t="inlineStr">
        <is>
          <t>d1_buyers_raw</t>
        </is>
      </c>
      <c r="F16" s="9" t="inlineStr">
        <is>
          <t>2026-09-30</t>
        </is>
      </c>
      <c r="G16" s="52" t="inlineStr">
        <is>
          <t>빈칸 채우기</t>
        </is>
      </c>
    </row>
    <row r="17" ht="34" customHeight="1">
      <c r="A17" s="5" t="inlineStr">
        <is>
          <t>ksure_insured (K-SURE 부보 여부)</t>
        </is>
      </c>
      <c r="B17" s="9" t="inlineStr">
        <is>
          <t>바이어 단위 단기수출보험 가입 여부</t>
        </is>
      </c>
      <c r="C17" s="9" t="inlineStr">
        <is>
          <t>(원천 값) Y / N</t>
        </is>
      </c>
      <c r="D17" s="9" t="inlineStr">
        <is>
          <t>Y/N</t>
        </is>
      </c>
      <c r="E17" s="9" t="inlineStr">
        <is>
          <t>d1_buyers_raw</t>
        </is>
      </c>
      <c r="F17" s="9" t="inlineStr">
        <is>
          <t>2026-09-30</t>
        </is>
      </c>
      <c r="G17" s="52" t="inlineStr">
        <is>
          <t>빈칸 채우기</t>
        </is>
      </c>
    </row>
    <row r="18" ht="34" customHeight="1">
      <c r="A18" s="5" t="inlineStr">
        <is>
          <t>oecd_crc (국가위험등급)</t>
        </is>
      </c>
      <c r="B18" s="9" t="inlineStr">
        <is>
          <t>국가 신용위험 등급 0~7(높을수록 위험)</t>
        </is>
      </c>
      <c r="C18" s="9" t="inlineStr">
        <is>
          <t>(원천 값) OECD 국가위험분류</t>
        </is>
      </c>
      <c r="D18" s="9" t="inlineStr">
        <is>
          <t>등급</t>
        </is>
      </c>
      <c r="E18" s="9" t="inlineStr">
        <is>
          <t>OECD CRC</t>
        </is>
      </c>
      <c r="F18" s="52" t="inlineStr">
        <is>
          <t>빈칸 채우기</t>
        </is>
      </c>
      <c r="G18" s="52" t="inlineStr">
        <is>
          <t>빈칸 채우기</t>
        </is>
      </c>
    </row>
    <row r="19" ht="20" customHeight="1">
      <c r="A19" s="18" t="inlineStr">
        <is>
          <t>내가 추가할 변수(선택)</t>
        </is>
      </c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1" t="inlineStr">
        <is>
          <t>공식을 외울 필요는 없습니다. 같은 이름의 숫자를 사람마다·AI마다 다르게 계산하지 않도록, 7칸을 문서로 남기는 것이 핵심입니다.</t>
        </is>
      </c>
    </row>
  </sheetData>
  <mergeCells count="2">
    <mergeCell ref="A2:G2"/>
    <mergeCell ref="A23:G23"/>
  </mergeCell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17"/>
  <sheetViews>
    <sheetView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40" customWidth="1" min="4" max="4"/>
    <col width="36" customWidth="1" min="5" max="5"/>
    <col width="40" customWidth="1" min="6" max="6"/>
    <col width="10" customWidth="1" min="7" max="7"/>
    <col width="36" customWidth="1" min="8" max="8"/>
  </cols>
  <sheetData>
    <row r="1" ht="24" customHeight="1">
      <c r="A1" s="1" t="inlineStr">
        <is>
          <t>06_현안정의서 · 결제방식별 리스크 현안 (Lab3)</t>
        </is>
      </c>
    </row>
    <row r="2" ht="35" customHeight="1">
      <c r="A2" s="2" t="inlineStr">
        <is>
          <t>Lab2 피벗①의 숫자를 결제방식별로 옮겨 적고(L/C = LC_SIGHT + LC_USANCE), AI 초안(P1-5)을 요약합니다. 근거 없는 수치·규정은 지우고 '확인 필요' 칸으로 옮긴 뒤, 최종 문장은 사람이 씁니다.</t>
        </is>
      </c>
    </row>
    <row r="3">
      <c r="A3" s="3" t="inlineStr">
        <is>
          <t>노란 칸 = 입력 · 회색 칸 = 자동 계산(지우지 마세요) · 저장: [파일] → [다른 이름으로 저장] → d1_end_eda__T조-번호.xlsx</t>
        </is>
      </c>
    </row>
    <row r="5" ht="34" customHeight="1">
      <c r="A5" s="4" t="inlineStr">
        <is>
          <t>결제방식</t>
        </is>
      </c>
      <c r="B5" s="4" t="inlineStr">
        <is>
          <t>바이어 수</t>
        </is>
      </c>
      <c r="C5" s="4" t="inlineStr">
        <is>
          <t>연체 바이어 비율</t>
        </is>
      </c>
      <c r="D5" s="4" t="inlineStr">
        <is>
          <t>주요 위험(현장 관점)</t>
        </is>
      </c>
      <c r="E5" s="4" t="inlineStr">
        <is>
          <t>AI 초안 요약</t>
        </is>
      </c>
      <c r="F5" s="4" t="inlineStr">
        <is>
          <t>확인 필요</t>
        </is>
      </c>
      <c r="G5" s="4" t="inlineStr">
        <is>
          <t>우선순위</t>
        </is>
      </c>
    </row>
    <row r="6">
      <c r="A6" s="5" t="inlineStr">
        <is>
          <t>L/C (LC_SIGHT + LC_USANCE)</t>
        </is>
      </c>
      <c r="B6" s="42" t="n"/>
      <c r="C6" s="40" t="n"/>
      <c r="D6" s="15" t="n"/>
      <c r="E6" s="15" t="n"/>
      <c r="F6" s="15" t="n"/>
      <c r="G6" s="16" t="n"/>
    </row>
    <row r="7">
      <c r="A7" s="5" t="inlineStr">
        <is>
          <t>T/T 선수금 (TT_ADV)</t>
        </is>
      </c>
      <c r="B7" s="42" t="n"/>
      <c r="C7" s="40" t="n"/>
      <c r="D7" s="15" t="n"/>
      <c r="E7" s="15" t="n"/>
      <c r="F7" s="15" t="n"/>
      <c r="G7" s="16" t="n"/>
    </row>
    <row r="8">
      <c r="A8" s="5" t="inlineStr">
        <is>
          <t>T/T 분할(30/70) (TT_SPLIT_30_70)</t>
        </is>
      </c>
      <c r="B8" s="42" t="n"/>
      <c r="C8" s="40" t="n"/>
      <c r="D8" s="15" t="n"/>
      <c r="E8" s="15" t="n"/>
      <c r="F8" s="15" t="n"/>
      <c r="G8" s="16" t="n"/>
    </row>
    <row r="9">
      <c r="A9" s="5" t="inlineStr">
        <is>
          <t>O/A (OA)</t>
        </is>
      </c>
      <c r="B9" s="42" t="n"/>
      <c r="C9" s="40" t="n"/>
      <c r="D9" s="15" t="n"/>
      <c r="E9" s="15" t="n"/>
      <c r="F9" s="15" t="n"/>
      <c r="G9" s="16" t="n"/>
    </row>
    <row r="10">
      <c r="A10" s="5" t="inlineStr">
        <is>
          <t>D/A (DA)</t>
        </is>
      </c>
      <c r="B10" s="42" t="n"/>
      <c r="C10" s="40" t="n"/>
      <c r="D10" s="15" t="n"/>
      <c r="E10" s="15" t="n"/>
      <c r="F10" s="15" t="n"/>
      <c r="G10" s="16" t="n"/>
    </row>
    <row r="11">
      <c r="A11" s="5" t="inlineStr">
        <is>
          <t>D/P (DP)</t>
        </is>
      </c>
      <c r="B11" s="42" t="n"/>
      <c r="C11" s="40" t="n"/>
      <c r="D11" s="15" t="n"/>
      <c r="E11" s="15" t="n"/>
      <c r="F11" s="15" t="n"/>
      <c r="G11" s="16" t="n"/>
    </row>
    <row r="12" ht="22" customHeight="1">
      <c r="A12" s="5" t="inlineStr">
        <is>
          <t>합계(피벗① 총합계와 같아야 함)</t>
        </is>
      </c>
      <c r="B12" s="53">
        <f>IF(COUNT(B6:B11)=0,"",SUM(B6:B11))</f>
        <v/>
      </c>
      <c r="C12" s="54" t="n"/>
      <c r="D12" s="54" t="n"/>
      <c r="E12" s="54" t="n"/>
      <c r="F12" s="54" t="n"/>
      <c r="G12" s="54" t="n"/>
    </row>
    <row r="14" ht="19.5" customHeight="1">
      <c r="A14" s="31" t="inlineStr">
        <is>
          <t>· 연체 바이어 비율 = 피벗①(행 합계 비율)에서 1-30 + 31-60 + 61-90 + 91+ 를 더한 값입니다. '확인필요' 비율이 있으면 그 값은 '확인 필요' 칸에 적어 둡니다.</t>
        </is>
      </c>
    </row>
    <row r="15" ht="19.5" customHeight="1">
      <c r="A15" s="31" t="inlineStr">
        <is>
          <t>· 바이어 수: 피벗①의 '행 합계 비율' 필드 → [값 필드 설정] → [값 표시 형식] → '계산 없음'으로 잠깐 바꿔 총합계 열을 읽고, 다시 '행 합계 비율'로 되돌립니다.</t>
        </is>
      </c>
    </row>
    <row r="16" ht="19.5" customHeight="1">
      <c r="A16" s="31" t="inlineStr">
        <is>
          <t>· 주요 위험은 현장에서 겪은 일로 씁니다(예: 서류 하자로 대금이 늦어진 경험). AI 초안은 요약만 옮기고, 규정·수치는 출처(약관 조항·보고서 쪽)를 확인한 것만 남깁니다.</t>
        </is>
      </c>
    </row>
    <row r="17" ht="19.5" customHeight="1">
      <c r="A17" s="31" t="inlineStr">
        <is>
          <t>· 우선순위: 상 = 이번 달 안에 조치 · 중 = 분기 안 · 하 = 지켜보기.</t>
        </is>
      </c>
    </row>
  </sheetData>
  <mergeCells count="5">
    <mergeCell ref="A14:G14"/>
    <mergeCell ref="A17:G17"/>
    <mergeCell ref="A2:G2"/>
    <mergeCell ref="A16:G16"/>
    <mergeCell ref="A15:G15"/>
  </mergeCells>
  <dataValidations count="1">
    <dataValidation sqref="G6:G11" showDropDown="0" showInputMessage="1" showErrorMessage="1" allowBlank="1" errorTitle="목록에서 고르기" error="목록(▼)에서 골라 주세요." promptTitle="우선순위" prompt="상 = 이번 달 안에 조치 · 중 = 분기 안 · 하 = 지켜보기" type="list" errorStyle="stop">
      <formula1>"상,중,하"</formula1>
    </dataValidation>
  </dataValidations>
  <printOptions horizontalCentered="1"/>
  <pageMargins left="0.4" right="0.4" top="0.55" bottom="0.55" header="0.25" footer="0.25"/>
  <pageSetup orientation="landscape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45"/>
  <sheetViews>
    <sheetView showGridLines="0"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3" customWidth="1" min="3" max="3"/>
    <col width="13" customWidth="1" min="4" max="4"/>
    <col width="13" customWidth="1" min="5" max="5"/>
    <col width="11" customWidth="1" min="6" max="6"/>
    <col width="42" customWidth="1" min="7" max="7"/>
  </cols>
  <sheetData>
    <row r="1" ht="24" customHeight="1">
      <c r="A1" s="1" t="inlineStr">
        <is>
          <t>07_내AX프로젝트 · AX 문제 정의 캔버스 + 과업 선정 3기준 (Lab3)</t>
        </is>
      </c>
    </row>
    <row r="2" ht="35" customHeight="1">
      <c r="A2" s="2" t="inlineStr">
        <is>
          <t>AI 질문형 코치(P1-6)가 한 번에 한 질문씩 묻고 내가 답합니다. 답한 내용을 7칸에 적고, 후보 과업마다 3기준 점수와 근거 한 줄을 씁니다. 고객사 실명·담당자 이름·계좌는 쓰지 않습니다.</t>
        </is>
      </c>
    </row>
    <row r="3">
      <c r="A3" s="3" t="inlineStr">
        <is>
          <t>노란 칸 = 입력 · 회색 칸 = 자동 계산(지우지 마세요) · 저장: [파일] → [다른 이름으로 저장] → d1_end_eda__T조-번호.xlsx</t>
        </is>
      </c>
    </row>
    <row r="5">
      <c r="A5" s="5" t="inlineStr">
        <is>
          <t>과제 이름(한 줄)</t>
        </is>
      </c>
      <c r="B5" s="7" t="n"/>
      <c r="C5" s="15" t="n"/>
      <c r="D5" s="6" t="n"/>
      <c r="E5" s="6" t="n"/>
      <c r="F5" s="6" t="n"/>
      <c r="G5" s="7" t="n"/>
    </row>
    <row r="6">
      <c r="A6" s="5" t="inlineStr">
        <is>
          <t>내 업무 / 페르소나</t>
        </is>
      </c>
      <c r="B6" s="7" t="n"/>
      <c r="C6" s="15" t="n"/>
      <c r="D6" s="6" t="n"/>
      <c r="E6" s="6" t="n"/>
      <c r="F6" s="6" t="n"/>
      <c r="G6" s="7" t="n"/>
    </row>
    <row r="8">
      <c r="A8" s="18" t="inlineStr">
        <is>
          <t>AX 문제 정의 캔버스 (7칸) — 슬라이드 42와 같은 칸</t>
        </is>
      </c>
    </row>
    <row r="9" ht="66" customHeight="1">
      <c r="A9" s="5" t="inlineStr">
        <is>
          <t>1 업무</t>
        </is>
      </c>
      <c r="B9" s="55" t="inlineStr">
        <is>
          <t>누가 · 무엇을</t>
        </is>
      </c>
      <c r="C9" s="15" t="n"/>
      <c r="D9" s="6" t="n"/>
      <c r="E9" s="6" t="n"/>
      <c r="F9" s="6" t="n"/>
      <c r="G9" s="7" t="n"/>
    </row>
    <row r="10" ht="66" customHeight="1">
      <c r="A10" s="5" t="inlineStr">
        <is>
          <t>2 현재 방식</t>
        </is>
      </c>
      <c r="B10" s="55" t="inlineStr">
        <is>
          <t>시간 · 빈도</t>
        </is>
      </c>
      <c r="C10" s="15" t="n"/>
      <c r="D10" s="6" t="n"/>
      <c r="E10" s="6" t="n"/>
      <c r="F10" s="6" t="n"/>
      <c r="G10" s="7" t="n"/>
    </row>
    <row r="11" ht="66" customHeight="1">
      <c r="A11" s="5" t="inlineStr">
        <is>
          <t>3 불편 · 위험</t>
        </is>
      </c>
      <c r="B11" s="55" t="inlineStr">
        <is>
          <t>무엇을 놓치면 비싼가</t>
        </is>
      </c>
      <c r="C11" s="15" t="n"/>
      <c r="D11" s="6" t="n"/>
      <c r="E11" s="6" t="n"/>
      <c r="F11" s="6" t="n"/>
      <c r="G11" s="7" t="n"/>
    </row>
    <row r="12" ht="66" customHeight="1">
      <c r="A12" s="5" t="inlineStr">
        <is>
          <t>4 데이터</t>
        </is>
      </c>
      <c r="B12" s="55" t="inlineStr">
        <is>
          <t>무엇이 · 어디에 · 민감도</t>
        </is>
      </c>
      <c r="C12" s="15" t="n"/>
      <c r="D12" s="6" t="n"/>
      <c r="E12" s="6" t="n"/>
      <c r="F12" s="6" t="n"/>
      <c r="G12" s="7" t="n"/>
    </row>
    <row r="13" ht="66" customHeight="1">
      <c r="A13" s="5" t="inlineStr">
        <is>
          <t>5 AI가 할 일</t>
        </is>
      </c>
      <c r="B13" s="55" t="inlineStr">
        <is>
          <t>읽기 / 구조화 / 판단 보조 / 보고 / 자동화</t>
        </is>
      </c>
      <c r="C13" s="15" t="n"/>
      <c r="D13" s="6" t="n"/>
      <c r="E13" s="6" t="n"/>
      <c r="F13" s="6" t="n"/>
      <c r="G13" s="7" t="n"/>
    </row>
    <row r="14" ht="66" customHeight="1">
      <c r="A14" s="5" t="inlineStr">
        <is>
          <t>6 사람이 할 결정</t>
        </is>
      </c>
      <c r="B14" s="55" t="inlineStr">
        <is>
          <t>승인 지점</t>
        </is>
      </c>
      <c r="C14" s="15" t="n"/>
      <c r="D14" s="6" t="n"/>
      <c r="E14" s="6" t="n"/>
      <c r="F14" s="6" t="n"/>
      <c r="G14" s="7" t="n"/>
    </row>
    <row r="15" ht="66" customHeight="1">
      <c r="A15" s="5" t="inlineStr">
        <is>
          <t>7 성공 지표</t>
        </is>
      </c>
      <c r="B15" s="55" t="inlineStr">
        <is>
          <t>전 → 후</t>
        </is>
      </c>
      <c r="C15" s="15" t="n"/>
      <c r="D15" s="6" t="n"/>
      <c r="E15" s="6" t="n"/>
      <c r="F15" s="6" t="n"/>
      <c r="G15" s="7" t="n"/>
    </row>
    <row r="16">
      <c r="A16" s="11" t="inlineStr">
        <is>
          <t>P1-6이 마지막에 보여 주는 캔버스 표에서 칸마다 '내 답 요약'을 복사 → 노란 칸을 두 번 클릭 → Ctrl+V (한 칸씩 옮기며 한 번 더 읽습니다)</t>
        </is>
      </c>
    </row>
    <row r="17">
      <c r="A17" s="18" t="inlineStr">
        <is>
          <t>과업 선정 3기준 · 각 1–5점 — 후보 과업마다 매기고, 점수마다 근거 한 줄</t>
        </is>
      </c>
    </row>
    <row r="18">
      <c r="A18" s="4" t="inlineStr">
        <is>
          <t>후보 과업</t>
        </is>
      </c>
      <c r="B18" s="7" t="n"/>
      <c r="C18" s="4" t="inlineStr">
        <is>
          <t>즉시 효과</t>
        </is>
      </c>
      <c r="D18" s="4" t="inlineStr">
        <is>
          <t>KPI 직결</t>
        </is>
      </c>
      <c r="E18" s="4" t="inlineStr">
        <is>
          <t>추가 인프라 불필요</t>
        </is>
      </c>
      <c r="F18" s="4" t="inlineStr">
        <is>
          <t>합계(자동)</t>
        </is>
      </c>
      <c r="G18" s="4" t="inlineStr">
        <is>
          <t>근거 한 줄</t>
        </is>
      </c>
    </row>
    <row r="19" ht="30" customHeight="1">
      <c r="A19" s="15" t="n"/>
      <c r="B19" s="7" t="n"/>
      <c r="C19" s="30" t="n"/>
      <c r="D19" s="30" t="n"/>
      <c r="E19" s="30" t="n"/>
      <c r="F19" s="56">
        <f>IF(COUNT(C19:E19)=0,"",SUM(C19:E19))</f>
        <v/>
      </c>
      <c r="G19" s="15" t="n"/>
    </row>
    <row r="20" ht="30" customHeight="1">
      <c r="A20" s="15" t="n"/>
      <c r="B20" s="7" t="n"/>
      <c r="C20" s="30" t="n"/>
      <c r="D20" s="30" t="n"/>
      <c r="E20" s="30" t="n"/>
      <c r="F20" s="56">
        <f>IF(COUNT(C20:E20)=0,"",SUM(C20:E20))</f>
        <v/>
      </c>
      <c r="G20" s="15" t="n"/>
    </row>
    <row r="21" ht="30" customHeight="1">
      <c r="A21" s="15" t="n"/>
      <c r="B21" s="7" t="n"/>
      <c r="C21" s="30" t="n"/>
      <c r="D21" s="30" t="n"/>
      <c r="E21" s="30" t="n"/>
      <c r="F21" s="56">
        <f>IF(COUNT(C21:E21)=0,"",SUM(C21:E21))</f>
        <v/>
      </c>
      <c r="G21" s="15" t="n"/>
    </row>
    <row r="22" ht="30" customHeight="1">
      <c r="A22" s="5" t="inlineStr">
        <is>
          <t>첫 프로젝트 후보(자동)</t>
        </is>
      </c>
      <c r="B22" s="7" t="n"/>
      <c r="C22" s="57">
        <f>IF(COUNT(F19:F21)=0,"",INDEX(A19:A21,MATCH(MAX(F19:F21),F19:F21,0)))</f>
        <v/>
      </c>
      <c r="D22" s="6" t="n"/>
      <c r="E22" s="6" t="n"/>
      <c r="F22" s="6" t="n"/>
      <c r="G22" s="7" t="n"/>
    </row>
    <row r="23" ht="31" customHeight="1">
      <c r="A23" s="11" t="inlineStr">
        <is>
          <t>즉시 효과 — 지금 바로 시간이 줄어드는가 · KPI 직결 — 회사가 이미 재는 숫자와 연결되는가 · 추가 인프라 불필요 — 새 시스템 없이 지금 도구로 되는가. 셋 다 높은 과업이 첫 프로젝트 후보입니다. 점수에 정답은 없습니다 — 점수마다 근거 한 줄을 씁니다.</t>
        </is>
      </c>
    </row>
    <row r="25">
      <c r="A25" s="18" t="inlineStr">
        <is>
          <t>옆 사람 검증(10분) — 서로 캔버스를 바꿔 보고 딱 하나만 묻기: "무엇을 놓치면 비싼가?"</t>
        </is>
      </c>
    </row>
    <row r="26" ht="34" customHeight="1">
      <c r="A26" s="5" t="inlineStr">
        <is>
          <t>검증해 준 사람(조-번호)</t>
        </is>
      </c>
      <c r="B26" s="7" t="n"/>
      <c r="C26" s="15" t="n"/>
      <c r="D26" s="6" t="n"/>
      <c r="E26" s="6" t="n"/>
      <c r="F26" s="6" t="n"/>
      <c r="G26" s="7" t="n"/>
    </row>
    <row r="27" ht="34" customHeight="1">
      <c r="A27" s="5" t="inlineStr">
        <is>
          <t>"무엇을 놓치면 비싼가?" — 내 답</t>
        </is>
      </c>
      <c r="B27" s="7" t="n"/>
      <c r="C27" s="15" t="n"/>
      <c r="D27" s="6" t="n"/>
      <c r="E27" s="6" t="n"/>
      <c r="F27" s="6" t="n"/>
      <c r="G27" s="7" t="n"/>
    </row>
    <row r="28" ht="34" customHeight="1">
      <c r="A28" s="5" t="inlineStr">
        <is>
          <t>옆 사람이 짚은 빈칸·의문</t>
        </is>
      </c>
      <c r="B28" s="7" t="n"/>
      <c r="C28" s="15" t="n"/>
      <c r="D28" s="6" t="n"/>
      <c r="E28" s="6" t="n"/>
      <c r="F28" s="6" t="n"/>
      <c r="G28" s="7" t="n"/>
    </row>
    <row r="29" ht="34" customHeight="1">
      <c r="A29" s="5" t="inlineStr">
        <is>
          <t>그래서 고칠 것</t>
        </is>
      </c>
      <c r="B29" s="7" t="n"/>
      <c r="C29" s="15" t="n"/>
      <c r="D29" s="6" t="n"/>
      <c r="E29" s="6" t="n"/>
      <c r="F29" s="6" t="n"/>
      <c r="G29" s="7" t="n"/>
    </row>
    <row r="31">
      <c r="A31" s="18" t="inlineStr">
        <is>
          <t>다음 단계 — Day2에 가져올 데이터 목록(오늘 과제: 무엇이 · 어디에 · 얼마나 민감한가)</t>
        </is>
      </c>
    </row>
    <row r="32">
      <c r="A32" s="4" t="inlineStr">
        <is>
          <t>데이터(무엇이)</t>
        </is>
      </c>
      <c r="B32" s="4" t="inlineStr">
        <is>
          <t>어디에(시스템·파일)</t>
        </is>
      </c>
      <c r="C32" s="4" t="inlineStr">
        <is>
          <t>민감도(상/중/하)</t>
        </is>
      </c>
      <c r="D32" s="4" t="inlineStr">
        <is>
          <t>지울 것·바꿀 것(익명화)</t>
        </is>
      </c>
      <c r="E32" s="6" t="n"/>
      <c r="F32" s="7" t="n"/>
      <c r="G32" s="4" t="inlineStr">
        <is>
          <t>메모</t>
        </is>
      </c>
    </row>
    <row r="33" ht="30" customHeight="1">
      <c r="A33" s="15" t="n"/>
      <c r="B33" s="15" t="n"/>
      <c r="C33" s="16" t="n"/>
      <c r="D33" s="15" t="n"/>
      <c r="E33" s="6" t="n"/>
      <c r="F33" s="7" t="n"/>
      <c r="G33" s="15" t="n"/>
    </row>
    <row r="34" ht="30" customHeight="1">
      <c r="A34" s="15" t="n"/>
      <c r="B34" s="15" t="n"/>
      <c r="C34" s="16" t="n"/>
      <c r="D34" s="15" t="n"/>
      <c r="E34" s="6" t="n"/>
      <c r="F34" s="7" t="n"/>
      <c r="G34" s="15" t="n"/>
    </row>
    <row r="35" ht="30" customHeight="1">
      <c r="A35" s="15" t="n"/>
      <c r="B35" s="15" t="n"/>
      <c r="C35" s="16" t="n"/>
      <c r="D35" s="15" t="n"/>
      <c r="E35" s="6" t="n"/>
      <c r="F35" s="7" t="n"/>
      <c r="G35" s="15" t="n"/>
    </row>
    <row r="36" ht="30" customHeight="1">
      <c r="A36" s="15" t="n"/>
      <c r="B36" s="15" t="n"/>
      <c r="C36" s="16" t="n"/>
      <c r="D36" s="15" t="n"/>
      <c r="E36" s="6" t="n"/>
      <c r="F36" s="7" t="n"/>
      <c r="G36" s="15" t="n"/>
    </row>
    <row r="37" ht="30" customHeight="1">
      <c r="A37" s="15" t="n"/>
      <c r="B37" s="15" t="n"/>
      <c r="C37" s="16" t="n"/>
      <c r="D37" s="15" t="n"/>
      <c r="E37" s="6" t="n"/>
      <c r="F37" s="7" t="n"/>
      <c r="G37" s="15" t="n"/>
    </row>
    <row r="38">
      <c r="A38" s="11" t="inlineStr">
        <is>
          <t>담당자 이름·이메일·계좌는 지웁니다(개인정보). 법인 재무 숫자는 개인정보가 아닙니다. 회사 보안 규정이 있으면 그것이 먼저입니다(슬라이드 35).</t>
        </is>
      </c>
    </row>
    <row r="40">
      <c r="A40" s="18" t="inlineStr">
        <is>
          <t>(Challenge·선택) 명세 1장 — 사용자 스토리 1 + Given/When/Then 3</t>
        </is>
      </c>
    </row>
    <row r="41" ht="34" customHeight="1">
      <c r="A41" s="5" t="inlineStr">
        <is>
          <t>사용자 스토리</t>
        </is>
      </c>
      <c r="B41" s="55" t="inlineStr">
        <is>
          <t>___로서, 나는 ___을 원한다. 그래야 ___.</t>
        </is>
      </c>
      <c r="C41" s="15" t="n"/>
      <c r="D41" s="6" t="n"/>
      <c r="E41" s="6" t="n"/>
      <c r="F41" s="6" t="n"/>
      <c r="G41" s="7" t="n"/>
    </row>
    <row r="42">
      <c r="A42" s="4" t="inlineStr">
        <is>
          <t>#</t>
        </is>
      </c>
      <c r="B42" s="4" t="inlineStr">
        <is>
          <t>Given(상황)</t>
        </is>
      </c>
      <c r="C42" s="4" t="inlineStr">
        <is>
          <t>When(행동)</t>
        </is>
      </c>
      <c r="D42" s="6" t="n"/>
      <c r="E42" s="7" t="n"/>
      <c r="F42" s="4" t="inlineStr">
        <is>
          <t>Then(결과)</t>
        </is>
      </c>
      <c r="G42" s="7" t="n"/>
    </row>
    <row r="43" ht="34" customHeight="1">
      <c r="A43" s="5" t="inlineStr">
        <is>
          <t>조건 1</t>
        </is>
      </c>
      <c r="B43" s="15" t="n"/>
      <c r="C43" s="15" t="n"/>
      <c r="D43" s="6" t="n"/>
      <c r="E43" s="7" t="n"/>
      <c r="F43" s="15" t="n"/>
      <c r="G43" s="7" t="n"/>
    </row>
    <row r="44" ht="34" customHeight="1">
      <c r="A44" s="5" t="inlineStr">
        <is>
          <t>조건 2</t>
        </is>
      </c>
      <c r="B44" s="15" t="n"/>
      <c r="C44" s="15" t="n"/>
      <c r="D44" s="6" t="n"/>
      <c r="E44" s="7" t="n"/>
      <c r="F44" s="15" t="n"/>
      <c r="G44" s="7" t="n"/>
    </row>
    <row r="45" ht="34" customHeight="1">
      <c r="A45" s="5" t="inlineStr">
        <is>
          <t>조건 3</t>
        </is>
      </c>
      <c r="B45" s="15" t="n"/>
      <c r="C45" s="15" t="n"/>
      <c r="D45" s="6" t="n"/>
      <c r="E45" s="7" t="n"/>
      <c r="F45" s="15" t="n"/>
      <c r="G45" s="7" t="n"/>
    </row>
  </sheetData>
  <mergeCells count="44">
    <mergeCell ref="C44:E44"/>
    <mergeCell ref="C6:G6"/>
    <mergeCell ref="D32:F32"/>
    <mergeCell ref="C15:G15"/>
    <mergeCell ref="C5:G5"/>
    <mergeCell ref="A38:G38"/>
    <mergeCell ref="C14:G14"/>
    <mergeCell ref="C43:E43"/>
    <mergeCell ref="A6:B6"/>
    <mergeCell ref="C26:G26"/>
    <mergeCell ref="C29:G29"/>
    <mergeCell ref="D37:F37"/>
    <mergeCell ref="C10:G10"/>
    <mergeCell ref="C41:G41"/>
    <mergeCell ref="F45:G45"/>
    <mergeCell ref="F42:G42"/>
    <mergeCell ref="A18:B18"/>
    <mergeCell ref="C22:G22"/>
    <mergeCell ref="A27:B27"/>
    <mergeCell ref="C9:G9"/>
    <mergeCell ref="D33:F33"/>
    <mergeCell ref="A26:B26"/>
    <mergeCell ref="A21:B21"/>
    <mergeCell ref="C12:G12"/>
    <mergeCell ref="A5:B5"/>
    <mergeCell ref="C11:G11"/>
    <mergeCell ref="C27:G27"/>
    <mergeCell ref="D35:F35"/>
    <mergeCell ref="A16:G16"/>
    <mergeCell ref="A22:B22"/>
    <mergeCell ref="D34:F34"/>
    <mergeCell ref="C42:E42"/>
    <mergeCell ref="F43:G43"/>
    <mergeCell ref="A20:B20"/>
    <mergeCell ref="A29:B29"/>
    <mergeCell ref="A19:B19"/>
    <mergeCell ref="C45:E45"/>
    <mergeCell ref="A28:B28"/>
    <mergeCell ref="C28:G28"/>
    <mergeCell ref="D36:F36"/>
    <mergeCell ref="A2:G2"/>
    <mergeCell ref="C13:G13"/>
    <mergeCell ref="F44:G44"/>
    <mergeCell ref="A23:G23"/>
  </mergeCells>
  <conditionalFormatting sqref="F19:F21">
    <cfRule type="expression" priority="1" dxfId="3">
      <formula>AND(ISNUMBER(F19),F19=MAX($F$19:$F$21))</formula>
    </cfRule>
  </conditionalFormatting>
  <dataValidations count="3">
    <dataValidation sqref="C6" showDropDown="0" showInputMessage="1" showErrorMessage="1" allowBlank="1" errorTitle="목록에서 고르기" error="목록에 없는 값입니다. 그래도 넣을까요?" promptTitle="내 업무 / 페르소나" prompt="내 회사 업무로 쓰거나, 데이터를 쓸 수 없으면 페르소나 카드 4종(페르소나 A–D) 중 하나를 고릅니다." type="list" errorStyle="warning">
      <formula1>"내 업무(우리 회사),페르소나 A 수출 중소 무역사무,페르소나 B 여신·채권 관리,페르소나 C 공공조달 계약,페르소나 D 재무·기획"</formula1>
    </dataValidation>
    <dataValidation sqref="C19:E21" showDropDown="0" showInputMessage="1" showErrorMessage="1" allowBlank="1" errorTitle="1–5점" error="1~5 사이 정수를 넣어 주세요." promptTitle="1–5점" prompt="1 = 낮음 · 5 = 높음. 점수마다 오른쪽에 근거 한 줄을 씁니다." type="whole" operator="between">
      <formula1>1</formula1>
      <formula2>5</formula2>
    </dataValidation>
    <dataValidation sqref="C33:C37" showDropDown="0" showInputMessage="1" showErrorMessage="1" allowBlank="1" errorTitle="목록에서 고르기" error="목록(▼)에서 골라 주세요." promptTitle="민감도" prompt="상 = 개인정보·계좌·비밀 / 중 = 사내 기밀(바이어명·금액) / 하 = 공개해도 되는 것" type="list" errorStyle="stop">
      <formula1>"상,중,하"</formula1>
    </dataValidation>
  </dataValidations>
  <printOptions horizontalCentered="1"/>
  <pageMargins left="0.4" right="0.4" top="0.55" bottom="0.55" header="0.25" footer="0.25"/>
  <pageSetup orientation="portrait" paperSize="9" fitToHeight="0" fitToWidth="1"/>
  <headerFooter>
    <oddHeader>&amp;R&amp;8 생성형 AI 기반 무역 금융 리스크 최적화 과정 · Day1 · (가상) 한빛정밀(주)</oddHeader>
    <oddFooter>&amp;C&amp;8 &amp;A ·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한태구(과정 자료)</dc:creator>
  <dc:title xmlns:dc="http://purl.org/dc/elements/1.1/">Day1 실습 템플릿 — d1_end_eda</dc:title>
  <dc:subject xmlns:dc="http://purl.org/dc/elements/1.1/">생성형 AI 기반 무역 금융 리스크 최적화 과정 · Day1 · (가상) 한빛정밀(주)</dc:subject>
  <dcterms:created xmlns:dcterms="http://purl.org/dc/terms/" xmlns:xsi="http://www.w3.org/2001/XMLSchema-instance" xsi:type="dcterms:W3CDTF">2026-10-06T12:27:56Z</dcterms:created>
  <dcterms:modified xmlns:dcterms="http://purl.org/dc/terms/" xmlns:xsi="http://www.w3.org/2001/XMLSchema-instance" xsi:type="dcterms:W3CDTF">2026-10-06T12:27:56Z</dcterms:modified>
</cp:coreProperties>
</file>