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안내" sheetId="1" r:id="rId1"/>
    <sheet name="결제방식_피벗" sheetId="2" r:id="rId2"/>
    <sheet name="buyers" sheetId="3" r:id="rId3"/>
    <sheet name="코드표" sheetId="4" r:id="rId4"/>
  </sheets>
  <definedNames>
    <definedName name="_xlnm._FilterDatabase" localSheetId="2" hidden="1">buyers!$A$1:$Y$154</definedName>
  </definedNames>
  <calcPr calcId="124519" fullCalcOnLoad="1"/>
</workbook>
</file>

<file path=xl/sharedStrings.xml><?xml version="1.0" encoding="utf-8"?>
<sst xmlns="http://schemas.openxmlformats.org/spreadsheetml/2006/main" count="2235" uniqueCount="845">
  <si>
    <t>d1_pivot_check.xlsx — 손 검산 완성 파일</t>
  </si>
  <si>
    <t>1일차 실습 B-2 · 02 · 원천을 한 칸도 고치지 않고 결제방식별로 센 표와 막대 차트(정답이 아니라 기준선)</t>
  </si>
  <si>
    <t>이 파일</t>
  </si>
  <si>
    <t>1일차 실습 B-2 · 02 '손 검산'용 완성 파일입니다. 엑셀 피벗 · 피벗 차트로 할 계산을 미리 해 두었습니다.</t>
  </si>
  <si>
    <t>왜</t>
  </si>
  <si>
    <t>AI(노트북)가 코드로 낸 숫자를 코드가 아닌 다른 길로 한 번 더 세어 맞춰 보려고. 실습 시간은 엑셀 조작이 아니라 AI 결과와 이 파일을 비교하고 원인을 찾는 데 씁니다.</t>
  </si>
  <si>
    <t>무엇으로</t>
  </si>
  <si>
    <t>data/day1/d1_buyers_raw.xlsx(원천)와 data/data_dictionary.xlsx의 결제조건 표기 → 표준 코드 표(42개 표기). 둘 다 과정 파일입니다.</t>
  </si>
  <si>
    <t>어떻게 ①</t>
  </si>
  <si>
    <t>buyers 시트 = 원천을 한 칸도 고치지 않고 옮겼습니다. 원천에 어떤 문제가 있어도 그대로입니다.</t>
  </si>
  <si>
    <t>어떻게 ②</t>
  </si>
  <si>
    <t>buyers 시트 X열 '표준코드' = 결제조건(I열)의 앞뒤 공백을 지우고 코드표 시트에서 찾았습니다. 없으면 '미분류'. 셀을 누르면 수식이 보입니다.</t>
  </si>
  <si>
    <t>어떻게 ③</t>
  </si>
  <si>
    <t>buyers 시트 Y열 '연체' = 연체일수(L열)가 0보다 크면 1, 0이면 0, 숫자로 읽히지 않으면 빈칸(판정 불가)입니다.</t>
  </si>
  <si>
    <t>어떻게 ④</t>
  </si>
  <si>
    <t>결제방식_피벗 시트 = 표준 코드별 행 수 · 판정 불가 · 판정 가능 행 · 연체 바이어 · 비율(연체 ÷ 판정 가능 행). 피벗 테이블과 같은 계산을 COUNTIF · COUNTIFS · SUMIF 수식으로 했고, 오른쪽 막대가 피벗 차트 자리입니다.</t>
  </si>
  <si>
    <t>쓰는 법</t>
  </si>
  <si>
    <t>노트북 차트 3(또는 d1_eda_notes.md의 결제방식별 표)에서 결제방식 하나를 골라 이 파일의 같은 줄과 비교합니다. 같으면 '맞았다'와 노트북이 한 처리를, 다르면 어디서 갈렸는지(코드표 · 같은 바이어 반복 · 숫자가 아닌 칸 · '검토 필요' 처리 · 정의)를 '손 검산' 절에 적습니다.</t>
  </si>
  <si>
    <t>주의</t>
  </si>
  <si>
    <t>정답이 아니라 '고치지 않고 센 기준선'입니다. 다르면 틀린 것이 아니라 원인을 찾을 차례입니다. 정제한 숫자는 2일차에 만듭니다.</t>
  </si>
  <si>
    <t>읽기만</t>
  </si>
  <si>
    <t>이 파일은 고치지 않습니다. 바꿔 보려면 workbench/day1/data/에 복사해서 씁니다. 엑셀로 열면 ~$로 시작하는 잠금 파일이 생기는데, 커밋하지 않습니다.</t>
  </si>
  <si>
    <t>더 해 보기</t>
  </si>
  <si>
    <t>사본의 코드표 시트에 내 코드표(실습 B-1 · 03의 CSV)의 '원래 표기 · 표준 코드' 두 열을 붙이면 다시 계산됩니다. 결제방식_피벗 B14가 0인지 보세요.</t>
  </si>
  <si>
    <t>다시 계산</t>
  </si>
  <si>
    <t>수식이 셀에 남아 있어 엑셀(2010 이후) · 웹용 Excel이 열 때 다시 계산합니다. AI 도구는 저장된 값을 읽습니다 — 둘은 같습니다.</t>
  </si>
  <si>
    <t>결제방식별 연체 바이어 — 원천 그대로 단순 집계(피벗과 같은 계산)</t>
  </si>
  <si>
    <t>행 = 표준코드(buyers!X) · 값 = 행 수(COUNTIF) · 판정 불가(COUNTIFS 빈칸) · 연체 합계(SUMIF) · 비율 = 연체 ÷ 판정 가능 행</t>
  </si>
  <si>
    <t>표준 코드</t>
  </si>
  <si>
    <t>뜻</t>
  </si>
  <si>
    <t>바이어 행 수</t>
  </si>
  <si>
    <t>연체 판정 불가</t>
  </si>
  <si>
    <t>판정 가능 행</t>
  </si>
  <si>
    <t>연체 바이어</t>
  </si>
  <si>
    <t>연체 바이어 비율</t>
  </si>
  <si>
    <t>TT_ADV</t>
  </si>
  <si>
    <t>T/T 선수금 — 선적 전에 전액</t>
  </si>
  <si>
    <t>TT_SPLIT_30_70</t>
  </si>
  <si>
    <t>선수금 + 잔금 분할</t>
  </si>
  <si>
    <t>LC_SIGHT</t>
  </si>
  <si>
    <t>L/C 일람불</t>
  </si>
  <si>
    <t>LC_USANCE</t>
  </si>
  <si>
    <t>L/C 기한부</t>
  </si>
  <si>
    <t>DP</t>
  </si>
  <si>
    <t>D/P 지급인도 추심</t>
  </si>
  <si>
    <t>DA</t>
  </si>
  <si>
    <t>D/A 인수인도 추심</t>
  </si>
  <si>
    <t>OA</t>
  </si>
  <si>
    <t>O/A 사후송금(외상)</t>
  </si>
  <si>
    <t>미분류</t>
  </si>
  <si>
    <t>코드표에서 찾지 못한 표기</t>
  </si>
  <si>
    <t>합계</t>
  </si>
  <si>
    <t/>
  </si>
  <si>
    <t>표준 코드 8칸 밖으로 분류된 행</t>
  </si>
  <si>
    <t>← 0이어야 합니다. 코드표 시트를 내 코드표로 바꿨을 때 '검토 필요'처럼 8칸에 없는 값이 있으면 여기에 셉니다.</t>
  </si>
  <si>
    <t>읽는 법</t>
  </si>
  <si>
    <t>비율의 분모는 '판정 가능 행'(연체일수가 숫자인 행)입니다. 같은 바이어가 두 줄이면 두 번 셉니다 — 원천 그대로 센 값이기 때문입니다.</t>
  </si>
  <si>
    <t>노트북 숫자와 다르면 원인을 찾을 차례입니다: 코드표 차이 · 같은 바이어 반복 · 숫자가 아닌 연체일 · '검토 필요' 처리 · 정의(연체일 &gt; 0).</t>
  </si>
  <si>
    <t>buyer_id</t>
  </si>
  <si>
    <t>buyer_name</t>
  </si>
  <si>
    <t>country</t>
  </si>
  <si>
    <t>country_code</t>
  </si>
  <si>
    <t>region</t>
  </si>
  <si>
    <t>industry</t>
  </si>
  <si>
    <t>segment</t>
  </si>
  <si>
    <t>buyer_type</t>
  </si>
  <si>
    <t>payment_terms_raw</t>
  </si>
  <si>
    <t>ar_balance</t>
  </si>
  <si>
    <t>ar_currency</t>
  </si>
  <si>
    <t>max_dpd_days</t>
  </si>
  <si>
    <t>overdue_amount</t>
  </si>
  <si>
    <t>pay_score</t>
  </si>
  <si>
    <t>oecd_crc</t>
  </si>
  <si>
    <t>ksure_insured</t>
  </si>
  <si>
    <t>since_date</t>
  </si>
  <si>
    <t>fin_summary_text</t>
  </si>
  <si>
    <t>revenue_usd_fy2025</t>
  </si>
  <si>
    <t>current_ratio_fy2025</t>
  </si>
  <si>
    <t>debt_to_equity_fy2025</t>
  </si>
  <si>
    <t>dso_fy2025</t>
  </si>
  <si>
    <t>op_margin_fy2025</t>
  </si>
  <si>
    <t>표준코드</t>
  </si>
  <si>
    <t>연체</t>
  </si>
  <si>
    <t>B001</t>
  </si>
  <si>
    <t>Camano Meettechniek B.V.</t>
  </si>
  <si>
    <t>Netherlands</t>
  </si>
  <si>
    <t>NLD</t>
  </si>
  <si>
    <t>서유럽</t>
  </si>
  <si>
    <t>epc_contractor</t>
  </si>
  <si>
    <t>private</t>
  </si>
  <si>
    <t>PRIVATE</t>
  </si>
  <si>
    <t>T/T 90 DAYS AFTER B/L</t>
  </si>
  <si>
    <t>EUR</t>
  </si>
  <si>
    <t>-</t>
  </si>
  <si>
    <t>N</t>
  </si>
  <si>
    <t>2013.12.9</t>
  </si>
  <si>
    <t>Revenue rose 2% YoY to USD 6.8M; operating margin 11.8%.</t>
  </si>
  <si>
    <t>B002</t>
  </si>
  <si>
    <t>Hefei Belum Machinery Co., Ltd.</t>
  </si>
  <si>
    <t>China</t>
  </si>
  <si>
    <t>CHN</t>
  </si>
  <si>
    <t>동아시아</t>
  </si>
  <si>
    <t>oem_manufacturer</t>
  </si>
  <si>
    <t xml:space="preserve">  OA90</t>
  </si>
  <si>
    <t>USD 10,070</t>
  </si>
  <si>
    <t>USD</t>
  </si>
  <si>
    <t>2020-09-14</t>
  </si>
  <si>
    <t>Revenue rose 13% YoY to USD 8.2M; operating margin 6.7%.</t>
  </si>
  <si>
    <t>B003</t>
  </si>
  <si>
    <t>PT Delyn Instrumen Nusantara</t>
  </si>
  <si>
    <t>Indonesia</t>
  </si>
  <si>
    <t>IDN</t>
  </si>
  <si>
    <t>동남아·남아</t>
  </si>
  <si>
    <t>D/A 90</t>
  </si>
  <si>
    <t>Jun 27 2018</t>
  </si>
  <si>
    <t>Revenue fell 2% YoY to USD 5.3M; operating loss (-5.2% margin). Some line items were not disclosed.</t>
  </si>
  <si>
    <t>B004</t>
  </si>
  <si>
    <t>Eldum Automation S.A.E.</t>
  </si>
  <si>
    <t>Egypt</t>
  </si>
  <si>
    <t>EGY</t>
  </si>
  <si>
    <t>중동·아프리카</t>
  </si>
  <si>
    <t>Confirmed L/C at sight</t>
  </si>
  <si>
    <t>Jun 20 2024</t>
  </si>
  <si>
    <t>Revenue rose 9% YoY to USD 73.9M; operating margin 7.2%.</t>
  </si>
  <si>
    <t>B005</t>
  </si>
  <si>
    <t>Xanolin Distribution Co., Ltd.</t>
  </si>
  <si>
    <t>Vietnam</t>
  </si>
  <si>
    <t>VNM</t>
  </si>
  <si>
    <t>distributor</t>
  </si>
  <si>
    <t xml:space="preserve">  T/T 90 days after B/L</t>
  </si>
  <si>
    <t>usd</t>
  </si>
  <si>
    <t>Y</t>
  </si>
  <si>
    <t>2023.7.21</t>
  </si>
  <si>
    <t>Revenue rose 11% YoY to USD 204.9M; operating margin 13.4%. Some line items were not disclosed.</t>
  </si>
  <si>
    <t>B006</t>
  </si>
  <si>
    <t>Zarum Machinery Sdn. Bhd.</t>
  </si>
  <si>
    <t>Malaysia</t>
  </si>
  <si>
    <t>MYS</t>
  </si>
  <si>
    <t>O/A 30</t>
  </si>
  <si>
    <t>29/04/2014</t>
  </si>
  <si>
    <t>FY2025 financial statements not received.</t>
  </si>
  <si>
    <t>B007</t>
  </si>
  <si>
    <t>Quineth Handel B.V.</t>
  </si>
  <si>
    <t>O/A 90</t>
  </si>
  <si>
    <t>Jan 20 2017</t>
  </si>
  <si>
    <t>Revenue rose 14% YoY to USD 27.5M; operating margin 6.3%.</t>
  </si>
  <si>
    <t>B008</t>
  </si>
  <si>
    <t>Uleon Anlagenbau GmbH</t>
  </si>
  <si>
    <t>Germany</t>
  </si>
  <si>
    <t>DEU</t>
  </si>
  <si>
    <t xml:space="preserve">60 days O/A </t>
  </si>
  <si>
    <t>약 7천</t>
  </si>
  <si>
    <t>13/07/2025</t>
  </si>
  <si>
    <t>Revenue rose 8% YoY to USD 14.1M; operating margin 8.4%.</t>
  </si>
  <si>
    <t>B009</t>
  </si>
  <si>
    <t>Suzhou Delaro Supply Co., Ltd.</t>
  </si>
  <si>
    <t>CNY</t>
  </si>
  <si>
    <t>2014-03-06</t>
  </si>
  <si>
    <t>Revenue fell 4% YoY to USD 25.1M; operating margin 2.4%.</t>
  </si>
  <si>
    <t>B010</t>
  </si>
  <si>
    <t>Gorion Handel Sp. z o.o.</t>
  </si>
  <si>
    <t>Poland</t>
  </si>
  <si>
    <t>POL</t>
  </si>
  <si>
    <t>중동부유럽</t>
  </si>
  <si>
    <t>retail</t>
  </si>
  <si>
    <t>TT</t>
  </si>
  <si>
    <t>2021.7.19</t>
  </si>
  <si>
    <t>Revenue rose 1% YoY to USD 5.9M; operating margin 0.4%.</t>
  </si>
  <si>
    <t>B011</t>
  </si>
  <si>
    <t>Fenolin Utilities Ltd.</t>
  </si>
  <si>
    <t>India</t>
  </si>
  <si>
    <t>IND</t>
  </si>
  <si>
    <t>utility</t>
  </si>
  <si>
    <t>May 29 2017</t>
  </si>
  <si>
    <t>Revenue rose 8% YoY to USD 7.7M. Some line items were not disclosed.</t>
  </si>
  <si>
    <t>B012</t>
  </si>
  <si>
    <t>PT Varasta Sarana Industri</t>
  </si>
  <si>
    <t>DP sight</t>
  </si>
  <si>
    <t>2014-08-15</t>
  </si>
  <si>
    <t>Revenue fell 5% YoY to USD 10.5M; operating loss (-9.8% margin). Current ratio below 1.0 (0.96). Some line items were not disclosed.</t>
  </si>
  <si>
    <t>B013</t>
  </si>
  <si>
    <t>Tianjin Wenum Manufacturing Co., Ltd.</t>
  </si>
  <si>
    <t>100% T/T before shipment</t>
  </si>
  <si>
    <t>US$</t>
  </si>
  <si>
    <t>May 6 2023</t>
  </si>
  <si>
    <t>Revenue fell 27% YoY to USD 46.5M; operating loss (-24.9% margin). Shareholders' equity is negative. Auditor flagged going-concern uncertainty.</t>
  </si>
  <si>
    <t>B014</t>
  </si>
  <si>
    <t>Briion Projects Corp.</t>
  </si>
  <si>
    <t>United States</t>
  </si>
  <si>
    <t>USA</t>
  </si>
  <si>
    <t>북미·중남미</t>
  </si>
  <si>
    <t>usance l/c 90 days</t>
  </si>
  <si>
    <t>22/07/2017</t>
  </si>
  <si>
    <t>Revenue fell 3% YoY to USD 148.0M; operating margin 7.5%.</t>
  </si>
  <si>
    <t>B015</t>
  </si>
  <si>
    <t>Pelant Automation Co., Ltd.</t>
  </si>
  <si>
    <t>Taiwan</t>
  </si>
  <si>
    <t>TWN</t>
  </si>
  <si>
    <t>01/06/2021</t>
  </si>
  <si>
    <t>Revenue fell 23% YoY to USD 16.5M; operating margin 3.4%.</t>
  </si>
  <si>
    <t>B016</t>
  </si>
  <si>
    <t>Galova Machinery Ltd.</t>
  </si>
  <si>
    <t>신용장 일람불</t>
  </si>
  <si>
    <t>2014-11-19</t>
  </si>
  <si>
    <t>B017</t>
  </si>
  <si>
    <t>Corasta Instruments S.A.E.</t>
  </si>
  <si>
    <t>o/a 90</t>
  </si>
  <si>
    <t>2015-01-29</t>
  </si>
  <si>
    <t>Revenue rose 0% YoY to USD 5.5M. Some line items were not disclosed.</t>
  </si>
  <si>
    <t>B018</t>
  </si>
  <si>
    <t>Corari Industrie B.V.</t>
  </si>
  <si>
    <t>Oct 7 2018</t>
  </si>
  <si>
    <t>Revenue rose 15% YoY to USD 31.9M; operating loss (-2.0% margin).</t>
  </si>
  <si>
    <t>B019</t>
  </si>
  <si>
    <t>Saryn Machinery Inc.</t>
  </si>
  <si>
    <t>D/A 90 days</t>
  </si>
  <si>
    <t>25/01/2015</t>
  </si>
  <si>
    <t>Revenue fell 5% YoY to USD 13.3M; operating margin 12.5%. Some line items were not disclosed.</t>
  </si>
  <si>
    <t>B020</t>
  </si>
  <si>
    <t>Velida Machinery Est.</t>
  </si>
  <si>
    <t>Saudi Arabia</t>
  </si>
  <si>
    <t>SAU</t>
  </si>
  <si>
    <t>T/T 30/70</t>
  </si>
  <si>
    <t>01/12/2019</t>
  </si>
  <si>
    <t>Revenue rose 12% YoY to USD 16.2M; operating loss (-6.3% margin).</t>
  </si>
  <si>
    <t>B021</t>
  </si>
  <si>
    <t>Xiamen Rinant Engineering Co., Ltd.</t>
  </si>
  <si>
    <t>Open account 60 days</t>
  </si>
  <si>
    <t>2016-01-20</t>
  </si>
  <si>
    <t>Revenue rose 14% YoY to USD 49.4M; operating margin 4.3%. Some line items were not disclosed.</t>
  </si>
  <si>
    <t>B022</t>
  </si>
  <si>
    <t>PT Kavrendo Instrumen Nusantara</t>
  </si>
  <si>
    <t>open acct 90d</t>
  </si>
  <si>
    <t>72,360</t>
  </si>
  <si>
    <t>Jan 17 2020</t>
  </si>
  <si>
    <t>Revenue of USD 169.3M; operating margin 8.7%.</t>
  </si>
  <si>
    <t>B023</t>
  </si>
  <si>
    <t>PT Morora Teknik Indonesia</t>
  </si>
  <si>
    <t>Indonesai</t>
  </si>
  <si>
    <t>2012-03-21</t>
  </si>
  <si>
    <t>B024</t>
  </si>
  <si>
    <t>Praum Outlets Inc.</t>
  </si>
  <si>
    <t>2012-12-01</t>
  </si>
  <si>
    <t>Revenue of USD 10.9M; operating margin 8.7%.</t>
  </si>
  <si>
    <t>B025</t>
  </si>
  <si>
    <t>Junant Anlagenbau AG</t>
  </si>
  <si>
    <t>T/T 60 DAYS AFTER B/L</t>
  </si>
  <si>
    <t>2022-06-29</t>
  </si>
  <si>
    <t>Revenue fell 8% YoY to USD 5.4M. Some line items were not disclosed.</t>
  </si>
  <si>
    <t>B026</t>
  </si>
  <si>
    <t>Nelova Engineering (Thailand) Co., Ltd.</t>
  </si>
  <si>
    <t>Thailand</t>
  </si>
  <si>
    <t>THA</t>
  </si>
  <si>
    <t>O/A 60</t>
  </si>
  <si>
    <t>2013-05-09</t>
  </si>
  <si>
    <t>B027</t>
  </si>
  <si>
    <t>Ralant Water Services Co., Ltd.</t>
  </si>
  <si>
    <t>Vietnma</t>
  </si>
  <si>
    <t>T/T in advance</t>
  </si>
  <si>
    <t>2023-05-06</t>
  </si>
  <si>
    <t>B028</t>
  </si>
  <si>
    <t>Davura Kogyo Co., Ltd.</t>
  </si>
  <si>
    <t>Japan</t>
  </si>
  <si>
    <t>JPN</t>
  </si>
  <si>
    <t xml:space="preserve">Net 90 </t>
  </si>
  <si>
    <t>JPY</t>
  </si>
  <si>
    <t>2018-03-06</t>
  </si>
  <si>
    <t>Revenue rose 9% YoY to USD 160.7M; operating margin 13.7%.</t>
  </si>
  <si>
    <t>B029</t>
  </si>
  <si>
    <t>Dongguan Tarella Engineering Co., Ltd.</t>
  </si>
  <si>
    <t>Jun 20 2017</t>
  </si>
  <si>
    <t>Revenue fell 20% YoY to USD 437.3M; operating margin 10.2%.</t>
  </si>
  <si>
    <t>B030</t>
  </si>
  <si>
    <t>Calaro Endüstriyel Ölçüm A.Ş.</t>
  </si>
  <si>
    <t>Türkiye</t>
  </si>
  <si>
    <t>TUR</t>
  </si>
  <si>
    <t>T/T 60 days after B/L</t>
  </si>
  <si>
    <t>2012.9.20</t>
  </si>
  <si>
    <t>Revenue fell 0% YoY to USD 45.0M; operating loss (-8.2% margin). Current ratio below 1.0 (0.73). Some line items were not disclosed.</t>
  </si>
  <si>
    <t>B031</t>
  </si>
  <si>
    <t>Kalaro Industrial S.A. de C.V.</t>
  </si>
  <si>
    <t>Mexico</t>
  </si>
  <si>
    <t>MEX</t>
  </si>
  <si>
    <t>T/T 60days</t>
  </si>
  <si>
    <t>2024.10.4</t>
  </si>
  <si>
    <t>Revenue rose 1% YoY to USD 243.2M; operating margin 7.5%. Some line items were not disclosed.</t>
  </si>
  <si>
    <t>B032</t>
  </si>
  <si>
    <t>Nilora Water &amp; Wastewater Authority</t>
  </si>
  <si>
    <t>public_agency</t>
  </si>
  <si>
    <t>public</t>
  </si>
  <si>
    <t>EM_GOV</t>
  </si>
  <si>
    <t>Net 30 days after receipt of invoice</t>
  </si>
  <si>
    <t>2019-04-10</t>
  </si>
  <si>
    <t>Revenue rose 7% YoY to USD 138.8M. Some line items were not disclosed.</t>
  </si>
  <si>
    <t>B033</t>
  </si>
  <si>
    <t>Calum Contracting JSC</t>
  </si>
  <si>
    <t>2020.10.6</t>
  </si>
  <si>
    <t>Revenue rose 6% YoY to USD 21.4M. Some line items were not disclosed.</t>
  </si>
  <si>
    <t>B034</t>
  </si>
  <si>
    <t>Helvara Humanitarian Supply Agency</t>
  </si>
  <si>
    <t>UN</t>
  </si>
  <si>
    <t>2025-11-02</t>
  </si>
  <si>
    <t>Revenue fell 6% YoY to USD 359.1M; operating margin 11.8%.</t>
  </si>
  <si>
    <t>B035</t>
  </si>
  <si>
    <t>Rinella Distribution Co., Ltd.</t>
  </si>
  <si>
    <t>17,800</t>
  </si>
  <si>
    <t>10/11/2017</t>
  </si>
  <si>
    <t>Revenue rose 16% YoY to USD 18.0M; operating loss (-1.7% margin). Some line items were not disclosed.</t>
  </si>
  <si>
    <t>B036</t>
  </si>
  <si>
    <t>Quinano Trading JSC</t>
  </si>
  <si>
    <t>2023-06-16</t>
  </si>
  <si>
    <t>B037</t>
  </si>
  <si>
    <t>Bexova Industries Est.</t>
  </si>
  <si>
    <t>KSA</t>
  </si>
  <si>
    <t>DA90</t>
  </si>
  <si>
    <t>02/10/2016</t>
  </si>
  <si>
    <t>Revenue rose 9% YoY to USD 48.0M; operating margin 7.9%. Current ratio below 1.0 (0.73).</t>
  </si>
  <si>
    <t>B038</t>
  </si>
  <si>
    <t>Varix Anlagenbau GmbH</t>
  </si>
  <si>
    <t>tt</t>
  </si>
  <si>
    <t>2023.5.16</t>
  </si>
  <si>
    <t>Revenue rose 3% YoY to USD 6.6M; operating loss (-5.3% margin).</t>
  </si>
  <si>
    <t>B039</t>
  </si>
  <si>
    <t>Zaryn Industries Est.</t>
  </si>
  <si>
    <t>30% T/T advance, 70% within 30 days after B/L</t>
  </si>
  <si>
    <t>2025-11-01</t>
  </si>
  <si>
    <t>Revenue fell 7% YoY to USD 7.4M; operating margin 6.8%. Some line items were not disclosed.</t>
  </si>
  <si>
    <t>B040</t>
  </si>
  <si>
    <t>Loreth Environmental Services Ltd.</t>
  </si>
  <si>
    <t>Usance L/C 90 days</t>
  </si>
  <si>
    <t>49.2k</t>
  </si>
  <si>
    <t>15/08/2014</t>
  </si>
  <si>
    <t>Revenue rose 9% YoY to USD 64.7M. Some line items were not disclosed.</t>
  </si>
  <si>
    <t>B041</t>
  </si>
  <si>
    <t>Davant Endüstriyel Ölçüm Ltd. Şti.</t>
  </si>
  <si>
    <t>30 DAYS OPEN ACCOUNT</t>
  </si>
  <si>
    <t>USD 11,210</t>
  </si>
  <si>
    <t>24/05/2017</t>
  </si>
  <si>
    <t>Revenue rose 10% YoY to USD 48.1M; operating margin 2.9%.</t>
  </si>
  <si>
    <t>B042</t>
  </si>
  <si>
    <t>Velix Comércio Ltda.</t>
  </si>
  <si>
    <t>Brazil</t>
  </si>
  <si>
    <t>BRA</t>
  </si>
  <si>
    <t>15/11/2012</t>
  </si>
  <si>
    <t>Revenue fell 15% YoY to USD 5.5M. Some line items were not disclosed.</t>
  </si>
  <si>
    <t>B043</t>
  </si>
  <si>
    <t>Changzhou Bexum Environmental Services Co., Ltd.</t>
  </si>
  <si>
    <t>t/t 90 days after b/l</t>
  </si>
  <si>
    <t>2022-10-24</t>
  </si>
  <si>
    <t>Revenue rose 18% YoY to USD 7.8M; operating margin 6.6%.</t>
  </si>
  <si>
    <t>B044</t>
  </si>
  <si>
    <t>Quinasta Manufacturing (Thailand) Co., Ltd.</t>
  </si>
  <si>
    <t>13,330</t>
  </si>
  <si>
    <t>2020-09-07</t>
  </si>
  <si>
    <t>Revenue rose 23% YoY to USD 13.0M; operating margin 0.0%. Some line items were not disclosed.</t>
  </si>
  <si>
    <t>B045</t>
  </si>
  <si>
    <t>Wenora General Trading FZCO</t>
  </si>
  <si>
    <t>United Arab Emirates</t>
  </si>
  <si>
    <t>ARE</t>
  </si>
  <si>
    <t>O/A60</t>
  </si>
  <si>
    <t>2017.1.19</t>
  </si>
  <si>
    <t>Revenue rose 4% YoY to USD 14.9M. Some line items were not disclosed.</t>
  </si>
  <si>
    <t>B046</t>
  </si>
  <si>
    <t>Interagency Water Relief Office</t>
  </si>
  <si>
    <t>Jul 16 2019</t>
  </si>
  <si>
    <t>Revenue rose 3% YoY to USD 256.7M; operating margin 9.5%.</t>
  </si>
  <si>
    <t>B047</t>
  </si>
  <si>
    <t>Corost Comercializadora S.A. de C.V.</t>
  </si>
  <si>
    <t xml:space="preserve">O/A 90 </t>
  </si>
  <si>
    <t>2016.3.10</t>
  </si>
  <si>
    <t>B048</t>
  </si>
  <si>
    <t>Changzhou Wenant Engineering Co., Ltd.</t>
  </si>
  <si>
    <t>O/A30</t>
  </si>
  <si>
    <t>90일</t>
  </si>
  <si>
    <t>24,530</t>
  </si>
  <si>
    <t>Dec 2 2019</t>
  </si>
  <si>
    <t>Revenue fell 17% YoY to USD 58.3M; operating loss (-23.6% margin). Shareholders' equity is negative. Auditor flagged going-concern uncertainty.</t>
  </si>
  <si>
    <t>B049</t>
  </si>
  <si>
    <t>Lumasta Engineering LLC</t>
  </si>
  <si>
    <t>2020-11-13</t>
  </si>
  <si>
    <t>Revenue fell 0% YoY to USD 290.2M; operating margin 3.9%.</t>
  </si>
  <si>
    <t>B050</t>
  </si>
  <si>
    <t>Korolin Instruments LLC</t>
  </si>
  <si>
    <t>U.S.A</t>
  </si>
  <si>
    <t>2016-06-16</t>
  </si>
  <si>
    <t>Revenue rose 6% YoY to USD 36.0M; operating margin 7.0%.</t>
  </si>
  <si>
    <t>B051</t>
  </si>
  <si>
    <t>Dorora Engineering Inc.</t>
  </si>
  <si>
    <t>OA 90 days</t>
  </si>
  <si>
    <t>Oct 26 2025</t>
  </si>
  <si>
    <t>Revenue rose 23% YoY to USD 102.2M; operating margin 7.7%.</t>
  </si>
  <si>
    <t>B052</t>
  </si>
  <si>
    <t>Mekora Water Infrastructure PMU</t>
  </si>
  <si>
    <t>MDB</t>
  </si>
  <si>
    <t xml:space="preserve">LC at sight </t>
  </si>
  <si>
    <t>May 16 2013</t>
  </si>
  <si>
    <t>Revenue fell 7% YoY to USD 167.2M; operating margin 10.3%.</t>
  </si>
  <si>
    <t>B053</t>
  </si>
  <si>
    <t>Davix Industrietechnik AG</t>
  </si>
  <si>
    <t xml:space="preserve">  O/A 60</t>
  </si>
  <si>
    <t>2019.1.22</t>
  </si>
  <si>
    <t>Revenue fell 4% YoY to USD 258.1M; operating margin 3.5%.</t>
  </si>
  <si>
    <t>B054</t>
  </si>
  <si>
    <t>Waterschap Velmar-Oost</t>
  </si>
  <si>
    <t>DM_GOV</t>
  </si>
  <si>
    <t>2024-07-17</t>
  </si>
  <si>
    <t>Revenue rose 7% YoY to USD 411.7M; operating margin 12.9%.</t>
  </si>
  <si>
    <t>B055</t>
  </si>
  <si>
    <t>Tulvarra Water Services LLC</t>
  </si>
  <si>
    <t>OA 60 days</t>
  </si>
  <si>
    <t>2025-01-29</t>
  </si>
  <si>
    <t>B056</t>
  </si>
  <si>
    <t>Quinari Instruments Inc.</t>
  </si>
  <si>
    <t>OA90</t>
  </si>
  <si>
    <t>2021-07-25</t>
  </si>
  <si>
    <t>Revenue rose 8% YoY to USD 8.1M; operating margin 10.0%.</t>
  </si>
  <si>
    <t>B057</t>
  </si>
  <si>
    <t>Calant Projects Co., Ltd.</t>
  </si>
  <si>
    <t>L/C 90 days</t>
  </si>
  <si>
    <t>2025.9.24</t>
  </si>
  <si>
    <t>Revenue rose 15% YoY to USD 46.7M; operating margin 6.8%.</t>
  </si>
  <si>
    <t>B058</t>
  </si>
  <si>
    <t>Jemsolka Supply Sdn. Bhd.</t>
  </si>
  <si>
    <t>OA 30 days</t>
  </si>
  <si>
    <t>2024-07-26</t>
  </si>
  <si>
    <t>B059</t>
  </si>
  <si>
    <t>PT Sarida Sarana Industri</t>
  </si>
  <si>
    <t>2025-01-30</t>
  </si>
  <si>
    <t>Revenue rose 5% YoY to USD 48.9M; operating loss (-5.0% margin). Current ratio below 1.0 (0.78).</t>
  </si>
  <si>
    <t>B060</t>
  </si>
  <si>
    <t>PT Korida Instrumen Nusantara</t>
  </si>
  <si>
    <t>May 20 2023</t>
  </si>
  <si>
    <t>B061</t>
  </si>
  <si>
    <t>Ulia Projects Pvt. Ltd.</t>
  </si>
  <si>
    <t>DA60</t>
  </si>
  <si>
    <t>Apr 14 2018</t>
  </si>
  <si>
    <t>Revenue rose 10% YoY to USD 21.2M. Some line items were not disclosed.</t>
  </si>
  <si>
    <t>B062</t>
  </si>
  <si>
    <t>Galeth Instruments LLC</t>
  </si>
  <si>
    <t>Net 60</t>
  </si>
  <si>
    <t>2024-11-18</t>
  </si>
  <si>
    <t>Revenue rose 11% YoY to USD 105.5M; operating margin 9.4%. Some line items were not disclosed.</t>
  </si>
  <si>
    <t>B063</t>
  </si>
  <si>
    <t>Tianjin Corolin Outlets Co., Ltd.</t>
  </si>
  <si>
    <t>11/04/2013</t>
  </si>
  <si>
    <t>Revenue rose 9% YoY to USD 7.8M; operating margin 0.7%.</t>
  </si>
  <si>
    <t>B064</t>
  </si>
  <si>
    <t>Belost Trading Inc.</t>
  </si>
  <si>
    <t>2015.7.9</t>
  </si>
  <si>
    <t>Revenue fell 14% YoY to USD 437.4M; operating margin 10.6%.</t>
  </si>
  <si>
    <t>B065</t>
  </si>
  <si>
    <t>Indavara Rural Water Programme PIU</t>
  </si>
  <si>
    <t>Inida</t>
  </si>
  <si>
    <t>irrevocable l/c at sight</t>
  </si>
  <si>
    <t>2024-04-11</t>
  </si>
  <si>
    <t>Revenue of USD 218.1M; operating margin 10.9%. Some line items were not disclosed.</t>
  </si>
  <si>
    <t>B066</t>
  </si>
  <si>
    <t>Marano Home &amp; Lab Stores FZE</t>
  </si>
  <si>
    <t>D/A 60</t>
  </si>
  <si>
    <t>확인중</t>
  </si>
  <si>
    <t>USD 10,610</t>
  </si>
  <si>
    <t>25/07/2015</t>
  </si>
  <si>
    <t>Revenue fell 2% YoY to USD 166.2M; operating margin 6.7%. Some line items were not disclosed.</t>
  </si>
  <si>
    <t>B067</t>
  </si>
  <si>
    <t>Briano Instrumentação S.A.</t>
  </si>
  <si>
    <t>D/P</t>
  </si>
  <si>
    <t>2018-03-25</t>
  </si>
  <si>
    <t>B068</t>
  </si>
  <si>
    <t>Belion Automation (Thailand) Co., Ltd.</t>
  </si>
  <si>
    <t>약 11만9천</t>
  </si>
  <si>
    <t>2025.9.10</t>
  </si>
  <si>
    <t>Revenue rose 31% YoY to USD 656.8M; operating margin 6.1%. Some line items were not disclosed.</t>
  </si>
  <si>
    <t>B069</t>
  </si>
  <si>
    <t>Vasbrelko Machinery LLC</t>
  </si>
  <si>
    <t>17/08/2023</t>
  </si>
  <si>
    <t>B070</t>
  </si>
  <si>
    <t>Tarolin Przemysł Sp. z o.o.</t>
  </si>
  <si>
    <t>Nov 14 2019</t>
  </si>
  <si>
    <t>Revenue fell 19% YoY to USD 34.8M; operating margin 7.2%.</t>
  </si>
  <si>
    <t>B071</t>
  </si>
  <si>
    <t>Briost Engineering Co., Ltd.</t>
  </si>
  <si>
    <t>Jun 27 2020</t>
  </si>
  <si>
    <t>Revenue fell 18% YoY to USD 51.3M; operating margin turned negative (-5.2%). Current ratio below 1.0 (0.75).</t>
  </si>
  <si>
    <t>B072</t>
  </si>
  <si>
    <t>Halano Handelsgesellschaft GmbH</t>
  </si>
  <si>
    <t>2025.2.5</t>
  </si>
  <si>
    <t>Revenue fell 6% YoY to USD 22.7M; operating margin 1.9%.</t>
  </si>
  <si>
    <t>B073</t>
  </si>
  <si>
    <t>Praix Industrial Ltda.</t>
  </si>
  <si>
    <t>48.3k</t>
  </si>
  <si>
    <t>Feb 24 2022</t>
  </si>
  <si>
    <t>Revenue rose 6% YoY to USD 61.2M; operating margin 3.7%.</t>
  </si>
  <si>
    <t>B074</t>
  </si>
  <si>
    <t>Corant Projects Sdn. Bhd.</t>
  </si>
  <si>
    <t>T/T 30 days after B/L</t>
  </si>
  <si>
    <t>12/01/2018</t>
  </si>
  <si>
    <t>Revenue fell 0% YoY to USD 41.4M; operating margin 2.5%.</t>
  </si>
  <si>
    <t>B075</t>
  </si>
  <si>
    <t>Tovera Messtechnik GmbH</t>
  </si>
  <si>
    <t>OA 60 DAYS</t>
  </si>
  <si>
    <t>2022-07-10</t>
  </si>
  <si>
    <t>Revenue fell 20% YoY to USD 39.4M; operating margin 10.8%. Some line items were not disclosed.</t>
  </si>
  <si>
    <t>B076</t>
  </si>
  <si>
    <t>Dorura Handel Sp. z o.o.</t>
  </si>
  <si>
    <t>2021-06-20</t>
  </si>
  <si>
    <t>Revenue rose 28% YoY to USD 7.6M; operating margin 15.5%. Some line items were not disclosed.</t>
  </si>
  <si>
    <t>B077</t>
  </si>
  <si>
    <t>Briari Contracting JSC</t>
  </si>
  <si>
    <t>D/P at sight</t>
  </si>
  <si>
    <t>29/03/2014</t>
  </si>
  <si>
    <t>Revenue rose 14% YoY to USD 14.6M; operating loss (-1.8% margin). Current ratio below 1.0 (0.92). Some line items were not disclosed.</t>
  </si>
  <si>
    <t>B078</t>
  </si>
  <si>
    <t>Kalost Manufacturing Co., Ltd.</t>
  </si>
  <si>
    <t>T/T 30:70</t>
  </si>
  <si>
    <t>Feb 18 2015</t>
  </si>
  <si>
    <t>Revenue rose 5% YoY to USD 53.9M; operating margin 0.7%.</t>
  </si>
  <si>
    <t>B079</t>
  </si>
  <si>
    <t>Nelera Kogyo Co., Ltd.</t>
  </si>
  <si>
    <t>¥</t>
  </si>
  <si>
    <t>2025-06-24</t>
  </si>
  <si>
    <t>Revenue rose 5% YoY to USD 234.9M; operating margin 12.5%.</t>
  </si>
  <si>
    <t>B080</t>
  </si>
  <si>
    <t>Lorida Shoji K.K.</t>
  </si>
  <si>
    <t>03/11/2012</t>
  </si>
  <si>
    <t>Revenue rose 2% YoY to USD 40.4M; operating margin 8.0%.</t>
  </si>
  <si>
    <t>B081</t>
  </si>
  <si>
    <t>Marida Keisoku Co., Ltd.</t>
  </si>
  <si>
    <t>L/C 60 days</t>
  </si>
  <si>
    <t>2024-12-01</t>
  </si>
  <si>
    <t>B082</t>
  </si>
  <si>
    <t>Tesvirel Keisoku K.K.</t>
  </si>
  <si>
    <t>2020.11.17</t>
  </si>
  <si>
    <t>Revenue rose 18% YoY to USD 364.4M; operating margin 3.8%.</t>
  </si>
  <si>
    <t>B083</t>
  </si>
  <si>
    <t>Oroari Industries LLC</t>
  </si>
  <si>
    <t>Dec 28 2024</t>
  </si>
  <si>
    <t>Revenue fell 39% YoY to USD 4.6M; operating margin turned negative (-4.3%). Current ratio below 1.0 (0.92).</t>
  </si>
  <si>
    <t>B084</t>
  </si>
  <si>
    <t>Korari Handel Sp. z o.o.</t>
  </si>
  <si>
    <t>€</t>
  </si>
  <si>
    <t>2014-02-04</t>
  </si>
  <si>
    <t>Revenue rose 8% YoY to USD 530.4M; operating margin 14.1%.</t>
  </si>
  <si>
    <t>B085</t>
  </si>
  <si>
    <t>Corida Trading LLC</t>
  </si>
  <si>
    <t>10% T/T advance + 90% O/A 90 days</t>
  </si>
  <si>
    <t>Mar 2 2026</t>
  </si>
  <si>
    <t>Revenue of USD 48.2M; operating margin 14.6%.</t>
  </si>
  <si>
    <t>B086</t>
  </si>
  <si>
    <t>Oroasta Handelsgesellschaft AG</t>
  </si>
  <si>
    <t>Germay</t>
  </si>
  <si>
    <t>T/T 90 days after B/L</t>
  </si>
  <si>
    <t>2024-06-04</t>
  </si>
  <si>
    <t>Revenue rose 17% YoY to USD 412.8M; operating margin 17.4%.</t>
  </si>
  <si>
    <t>B087</t>
  </si>
  <si>
    <t>Yorura Outlets Corp.</t>
  </si>
  <si>
    <t>22/08/2015</t>
  </si>
  <si>
    <t>Revenue rose 8% YoY to USD 417.6M; operating loss (-7.5% margin). Current ratio below 1.0 (0.78).</t>
  </si>
  <si>
    <t>B088</t>
  </si>
  <si>
    <t>Tareon Contracting LLC</t>
  </si>
  <si>
    <t>Sep 25 2025</t>
  </si>
  <si>
    <t>Revenue rose 4% YoY to USD 260.7M; operating margin 11.1%. Some line items were not disclosed.</t>
  </si>
  <si>
    <t>B089</t>
  </si>
  <si>
    <t>Morost Automation Ltd</t>
  </si>
  <si>
    <t>Nigeria</t>
  </si>
  <si>
    <t>NGA</t>
  </si>
  <si>
    <t>Irrevocable L/C at sight</t>
  </si>
  <si>
    <t>18/03/2016</t>
  </si>
  <si>
    <t>Revenue rose 8% YoY to USD 11.1M. Some line items were not disclosed.</t>
  </si>
  <si>
    <t>B090</t>
  </si>
  <si>
    <t>Calova Automation Inc.</t>
  </si>
  <si>
    <t>2013-08-30</t>
  </si>
  <si>
    <t>Revenue rose 6% YoY to USD 8.3M; operating margin 2.1%.</t>
  </si>
  <si>
    <t>B091</t>
  </si>
  <si>
    <t>Lorion Handel B.V.</t>
  </si>
  <si>
    <t xml:space="preserve">  D/A 90</t>
  </si>
  <si>
    <t>4.0k</t>
  </si>
  <si>
    <t>03/12/2025</t>
  </si>
  <si>
    <t>Revenue rose 15% YoY to USD 5.7M; operating margin 9.8%.</t>
  </si>
  <si>
    <t>B092</t>
  </si>
  <si>
    <t>Eldolin Przemysł Sp. z o.o.</t>
  </si>
  <si>
    <t>2019-07-21</t>
  </si>
  <si>
    <t>Revenue rose 16% YoY to USD 7.6M; operating loss (-3.5% margin).</t>
  </si>
  <si>
    <t>B093</t>
  </si>
  <si>
    <t>Orunde State Water Board</t>
  </si>
  <si>
    <t xml:space="preserve">  Net 30 days after receipt of invoice</t>
  </si>
  <si>
    <t>2019.1.9</t>
  </si>
  <si>
    <t>B094</t>
  </si>
  <si>
    <t>Korora Manufacturing Co., Ltd.</t>
  </si>
  <si>
    <t>Feb 11 2015</t>
  </si>
  <si>
    <t>Revenue rose 2% YoY to USD 49.9M; operating margin 16.0%.</t>
  </si>
  <si>
    <t>B095</t>
  </si>
  <si>
    <t>Bexura Industries S.A.E.</t>
  </si>
  <si>
    <t>Mar 30 2015</t>
  </si>
  <si>
    <t>Revenue rose 2% YoY to USD 20.2M; operating loss (-3.2% margin). Some line items were not disclosed.</t>
  </si>
  <si>
    <t>B096</t>
  </si>
  <si>
    <t>Marova Trading Inc.</t>
  </si>
  <si>
    <t>Sep 24 2013</t>
  </si>
  <si>
    <t>B097</t>
  </si>
  <si>
    <t>Tahrava Water Authority</t>
  </si>
  <si>
    <t>2017-01-23</t>
  </si>
  <si>
    <t>Revenue rose 12% YoY to USD 429.7M. Some line items were not disclosed.</t>
  </si>
  <si>
    <t>B098</t>
  </si>
  <si>
    <t>Zenyn Outlets Ltd.</t>
  </si>
  <si>
    <t>2025.4.23</t>
  </si>
  <si>
    <t>Revenue rose 18% YoY to USD 249.6M; operating margin 0.7%. Current ratio below 1.0 (0.88).</t>
  </si>
  <si>
    <t>B099</t>
  </si>
  <si>
    <t>Helura Endüstriyel Ölçüm Ltd. Şti.</t>
  </si>
  <si>
    <t>2015-06-13</t>
  </si>
  <si>
    <t>B100</t>
  </si>
  <si>
    <t>Falella Manufacturing (Thailand) Co., Ltd.</t>
  </si>
  <si>
    <t>2023-05-03</t>
  </si>
  <si>
    <t>Revenue fell 2% YoY to USD 7.9M; operating margin 1.7%. Some line items were not disclosed.</t>
  </si>
  <si>
    <t>B101</t>
  </si>
  <si>
    <t>Goraro Engineering Pvt. Ltd.</t>
  </si>
  <si>
    <t>Documents against acceptance 60 days</t>
  </si>
  <si>
    <t>15/12/2012</t>
  </si>
  <si>
    <t>Revenue fell 2% YoY to USD 149.1M; operating margin 4.6%. Current ratio below 1.0 (0.92).</t>
  </si>
  <si>
    <t>B102</t>
  </si>
  <si>
    <t>Kalant Machinery plc</t>
  </si>
  <si>
    <t>United Kingdom</t>
  </si>
  <si>
    <t>GBR</t>
  </si>
  <si>
    <t>2019.7.3</t>
  </si>
  <si>
    <t>Revenue fell 9% YoY to USD 51.3M; operating margin 11.3%.</t>
  </si>
  <si>
    <t>B103</t>
  </si>
  <si>
    <t>Teveth Distribution Co.</t>
  </si>
  <si>
    <t>2014-05-01</t>
  </si>
  <si>
    <t>B104</t>
  </si>
  <si>
    <t>Sarant Ingeniería S.A. de C.V.</t>
  </si>
  <si>
    <t>10.2k</t>
  </si>
  <si>
    <t>2023-12-21</t>
  </si>
  <si>
    <t>Revenue fell 5% YoY to USD 8.6M; operating margin 10.7%.</t>
  </si>
  <si>
    <t>Korora Manufacturing Co.,Ltd</t>
  </si>
  <si>
    <t>B105</t>
  </si>
  <si>
    <t>Zenano Shoji K.K.</t>
  </si>
  <si>
    <t>2024-03-04</t>
  </si>
  <si>
    <t>Revenue rose 17% YoY to USD 219.3M; operating margin 11.5%. Some line items were not disclosed.</t>
  </si>
  <si>
    <t>B106</t>
  </si>
  <si>
    <t>Ivoari Makina Ltd. Şti.</t>
  </si>
  <si>
    <t>LC at sight</t>
  </si>
  <si>
    <t>May 28 2023</t>
  </si>
  <si>
    <t>Revenue fell 1% YoY to USD 40.2M. Current ratio below 1.0 (0.83). Some line items were not disclosed.</t>
  </si>
  <si>
    <t>B107</t>
  </si>
  <si>
    <t>Gemvelund Anlagenbau GmbH</t>
  </si>
  <si>
    <t>30,860</t>
  </si>
  <si>
    <t>2020-01-07</t>
  </si>
  <si>
    <t>Revenue rose 20% YoY to USD 434.3M. Some line items were not disclosed.</t>
  </si>
  <si>
    <t>B108</t>
  </si>
  <si>
    <t>Nelella Distribution JSC</t>
  </si>
  <si>
    <t>Jul 16 2025</t>
  </si>
  <si>
    <t>Revenue fell 12% YoY to USD 411.4M; operating margin 3.4%.</t>
  </si>
  <si>
    <t>B109</t>
  </si>
  <si>
    <t>Ralova Home &amp; Lab Stores Co., Ltd.</t>
  </si>
  <si>
    <t>24/06/2024</t>
  </si>
  <si>
    <t>Revenue fell 1% YoY to USD 74.8M; operating margin 1.6%. Some line items were not disclosed.</t>
  </si>
  <si>
    <t>B110</t>
  </si>
  <si>
    <t>Dorova Trading Corp.</t>
  </si>
  <si>
    <t>2020-03-02</t>
  </si>
  <si>
    <t>Revenue rose 5% YoY to USD 75.4M; operating margin 6.5%.</t>
  </si>
  <si>
    <t>B111</t>
  </si>
  <si>
    <t>Kervuvar Retail Co., Ltd.</t>
  </si>
  <si>
    <t>d/a 90</t>
  </si>
  <si>
    <t>2018-09-29</t>
  </si>
  <si>
    <t>Revenue rose 8% YoY to USD 60.0M; operating loss (-4.2% margin). Current ratio below 1.0 (0.65).</t>
  </si>
  <si>
    <t>B112</t>
  </si>
  <si>
    <t>Morasta Industrial S.A. de C.V.</t>
  </si>
  <si>
    <t>02/08/2016</t>
  </si>
  <si>
    <t>Revenue fell 1% YoY to USD 6.5M; operating margin 12.9%. Some line items were not disclosed.</t>
  </si>
  <si>
    <t>B113</t>
  </si>
  <si>
    <t>Ralora Kogyo K.K.</t>
  </si>
  <si>
    <t>2024-03-08</t>
  </si>
  <si>
    <t>Revenue rose 17% YoY to USD 34.6M; operating margin 12.5%.</t>
  </si>
  <si>
    <t>B114</t>
  </si>
  <si>
    <t>Quinera Keisoku Co., Ltd.</t>
  </si>
  <si>
    <t>08/06/2020</t>
  </si>
  <si>
    <t>Revenue rose 12% YoY to USD 19.2M; operating margin 1.6%. Current ratio below 1.0 (0.95).</t>
  </si>
  <si>
    <t>B115</t>
  </si>
  <si>
    <t>Shenzhen Quinida Contracting Co., Ltd.</t>
  </si>
  <si>
    <t>D/A 60 DAYS AFTER B/L</t>
  </si>
  <si>
    <t>2021.11.17</t>
  </si>
  <si>
    <t>Revenue rose 2% YoY to USD 12.3M; operating margin 4.7%.</t>
  </si>
  <si>
    <t>B116</t>
  </si>
  <si>
    <t>Halera Instruments Ltd</t>
  </si>
  <si>
    <t>May 17 2023</t>
  </si>
  <si>
    <t>Revenue rose 1% YoY to USD 14.4M; operating margin 10.9%. Some line items were not disclosed.</t>
  </si>
  <si>
    <t>B117</t>
  </si>
  <si>
    <t>Shenzhen Velari Machinery Co., Ltd.</t>
  </si>
  <si>
    <t>2015-07-05</t>
  </si>
  <si>
    <t>Revenue fell 2% YoY to USD 10.5M; operating margin 2.1%.</t>
  </si>
  <si>
    <t>B118</t>
  </si>
  <si>
    <t>Tevura Automation Inc.</t>
  </si>
  <si>
    <t>US</t>
  </si>
  <si>
    <t>2013.9.12</t>
  </si>
  <si>
    <t>Revenue rose 9% YoY to USD 34.3M; operating margin 6.7%. Some line items were not disclosed.</t>
  </si>
  <si>
    <t>B119</t>
  </si>
  <si>
    <t>Galost Automation Ltd.</t>
  </si>
  <si>
    <t>USD 48,780</t>
  </si>
  <si>
    <t>22/02/2015</t>
  </si>
  <si>
    <t>Revenue of USD 37.5M; operating margin 4.5%.</t>
  </si>
  <si>
    <t>Quinera Keisoku Co Ltd</t>
  </si>
  <si>
    <t>B120</t>
  </si>
  <si>
    <t>Oroora Sangyo K.K.</t>
  </si>
  <si>
    <t>t/t 60 days after b/l</t>
  </si>
  <si>
    <t>2017.7.25</t>
  </si>
  <si>
    <t>Revenue rose 8% YoY to USD 7.9M; operating margin 5.7%.</t>
  </si>
  <si>
    <t>B121</t>
  </si>
  <si>
    <t>Ulida Outlets Pvt. Ltd.</t>
  </si>
  <si>
    <t>2019-05-29</t>
  </si>
  <si>
    <t>Revenue rose 9% YoY to USD 61.7M; operating margin 11.0%. Some line items were not disclosed.</t>
  </si>
  <si>
    <t>B122</t>
  </si>
  <si>
    <t>Velova Keisoku K.K.</t>
  </si>
  <si>
    <t>2013-07-27</t>
  </si>
  <si>
    <t>Revenue rose 12% YoY to USD 105.8M; operating margin 7.7%. Some line items were not disclosed.</t>
  </si>
  <si>
    <t>B123</t>
  </si>
  <si>
    <t>Goreth Inżynieria Sp. z o.o.</t>
  </si>
  <si>
    <t>Sep 20 2016</t>
  </si>
  <si>
    <t>Revenue rose 11% YoY to USD 90.8M; operating margin 10.7%. Some line items were not disclosed.</t>
  </si>
  <si>
    <t>B124</t>
  </si>
  <si>
    <t>Dongguan Wenura Automation Co., Ltd.</t>
  </si>
  <si>
    <t>06/07/2024</t>
  </si>
  <si>
    <t>Revenue rose 5% YoY to USD 46.0M; operating margin 5.5%.</t>
  </si>
  <si>
    <t>B125</t>
  </si>
  <si>
    <t>Zarant Instrumentación S.A. de C.V.</t>
  </si>
  <si>
    <t>D/A 60 days</t>
  </si>
  <si>
    <t>Feb 14 2020</t>
  </si>
  <si>
    <t>Revenue rose 6% YoY to USD 57.9M; operating margin 1.9%. Some line items were not disclosed.</t>
  </si>
  <si>
    <t>B126</t>
  </si>
  <si>
    <t>Yoreth Manufacturing Ltd</t>
  </si>
  <si>
    <t>Net 90</t>
  </si>
  <si>
    <t>2015-03-16</t>
  </si>
  <si>
    <t>Revenue of USD 70.4M; operating margin 8.5%. Some line items were not disclosed.</t>
  </si>
  <si>
    <t>B127</t>
  </si>
  <si>
    <t>Tevella Automation Co., Ltd.</t>
  </si>
  <si>
    <t>d/p at sight</t>
  </si>
  <si>
    <t>2016.3.13</t>
  </si>
  <si>
    <t>Revenue rose 10% YoY to USD 501.4M. Current ratio below 1.0 (0.73). Some line items were not disclosed.</t>
  </si>
  <si>
    <t>B128</t>
  </si>
  <si>
    <t>Briella Manufacturing plc</t>
  </si>
  <si>
    <t>2025-05-08</t>
  </si>
  <si>
    <t>Revenue rose 3% YoY to USD 371.0M; operating margin 5.0%. Some line items were not disclosed.</t>
  </si>
  <si>
    <t>B129</t>
  </si>
  <si>
    <t>Xiamen Xanyn Trading Co., Ltd.</t>
  </si>
  <si>
    <t>2022.12.1</t>
  </si>
  <si>
    <t>Revenue rose 13% YoY to USD 15.5M; operating loss (-3.9% margin). Some line items were not disclosed.</t>
  </si>
  <si>
    <t>B130</t>
  </si>
  <si>
    <t>Marasta Ticaret Ltd. Şti.</t>
  </si>
  <si>
    <t>터키</t>
  </si>
  <si>
    <t>LC AT SIGHT</t>
  </si>
  <si>
    <t>May 13 2025</t>
  </si>
  <si>
    <t>Revenue rose 5% YoY to USD 7.8M. Some line items were not disclosed.</t>
  </si>
  <si>
    <t>B131</t>
  </si>
  <si>
    <t>Tarera Automation Nigeria Ltd</t>
  </si>
  <si>
    <t xml:space="preserve">L/C at sight </t>
  </si>
  <si>
    <t>Jul 12 2014</t>
  </si>
  <si>
    <t>Revenue rose 5% YoY to USD 7.1M; operating margin 6.1%.</t>
  </si>
  <si>
    <t>B132</t>
  </si>
  <si>
    <t>PT Quineon Instrumen Nusantara</t>
  </si>
  <si>
    <t>2016-12-17</t>
  </si>
  <si>
    <t>Revenue fell 2% YoY to USD 43.2M. Some line items were not disclosed.</t>
  </si>
  <si>
    <t>B133</t>
  </si>
  <si>
    <t>Oroyn Distribution LLC</t>
  </si>
  <si>
    <t>18/12/2012</t>
  </si>
  <si>
    <t>Revenue rose 4% YoY to USD 38.6M; operating margin 10.3%.</t>
  </si>
  <si>
    <t>B134</t>
  </si>
  <si>
    <t>Camolin Instrumentación S.A. de C.V.</t>
  </si>
  <si>
    <t>Nov 2 2025</t>
  </si>
  <si>
    <t>Revenue rose 15% YoY to USD 345.0M; operating margin 3.6%. Some line items were not disclosed.</t>
  </si>
  <si>
    <t>B135</t>
  </si>
  <si>
    <t>Zarix Ticaret Ltd. Şti.</t>
  </si>
  <si>
    <t>Feb 21 2013</t>
  </si>
  <si>
    <t>B136</t>
  </si>
  <si>
    <t>Xanora Industrietechnik GmbH</t>
  </si>
  <si>
    <t>2015-05-17</t>
  </si>
  <si>
    <t>Revenue fell 9% YoY to USD 10.7M; operating margin 6.0%. Current ratio below 1.0 (0.98).</t>
  </si>
  <si>
    <t>B137</t>
  </si>
  <si>
    <t>Ivoion Distribution LLC</t>
  </si>
  <si>
    <t>24/07/2021</t>
  </si>
  <si>
    <t>Revenue rose 19% YoY to USD 24.7M; operating margin 6.2%.</t>
  </si>
  <si>
    <t>B138</t>
  </si>
  <si>
    <t>Shenzhen Gulvresko Contracting Co., Ltd.</t>
  </si>
  <si>
    <t>2017-07-19</t>
  </si>
  <si>
    <t>Revenue of USD 3.4M; operating margin 6.8%.</t>
  </si>
  <si>
    <t>B139</t>
  </si>
  <si>
    <t>Varant Handelsgesellschaft AG</t>
  </si>
  <si>
    <t>2012-04-01</t>
  </si>
  <si>
    <t>Revenue rose 7% YoY to USD 26.1M; operating margin 6.9%.</t>
  </si>
  <si>
    <t>B140</t>
  </si>
  <si>
    <t>Kalora Machinery LLC</t>
  </si>
  <si>
    <t>2013.6.17</t>
  </si>
  <si>
    <t>Revenue fell 10% YoY to USD 232.2M. Some line items were not disclosed.</t>
  </si>
  <si>
    <t>B141</t>
  </si>
  <si>
    <t>Briera Messtechnik GmbH</t>
  </si>
  <si>
    <t>12/07/2025</t>
  </si>
  <si>
    <t>Revenue rose 16% YoY to USD 525.1M; operating margin 16.2%.</t>
  </si>
  <si>
    <t>B142</t>
  </si>
  <si>
    <t>Peleth Instruments Ltd.</t>
  </si>
  <si>
    <t>06/05/2012</t>
  </si>
  <si>
    <t>Revenue rose 10% YoY to USD 10.9M; operating loss (-4.2% margin).</t>
  </si>
  <si>
    <t>B143</t>
  </si>
  <si>
    <t>Nelost Industries Sdn. Bhd.</t>
  </si>
  <si>
    <t>2020-07-22</t>
  </si>
  <si>
    <t>Revenue fell 12% YoY to USD 94.4M; operating margin 10.1%.</t>
  </si>
  <si>
    <t>B144</t>
  </si>
  <si>
    <t>Camost Ticaret Ltd. Şti.</t>
  </si>
  <si>
    <t>Turkey</t>
  </si>
  <si>
    <t>1,840</t>
  </si>
  <si>
    <t>Jun 1 2019</t>
  </si>
  <si>
    <t>Revenue rose 40% YoY to USD 161.5M. Some line items were not disclosed.</t>
  </si>
  <si>
    <t>B145</t>
  </si>
  <si>
    <t>Varano Home &amp; Lab Stores plc</t>
  </si>
  <si>
    <t>2020-03-13</t>
  </si>
  <si>
    <t>Revenue rose 5% YoY to USD 98.5M. Some line items were not disclosed.</t>
  </si>
  <si>
    <t>B146</t>
  </si>
  <si>
    <t>Ivoost Industrial Ltda.</t>
  </si>
  <si>
    <t>2020.12.8</t>
  </si>
  <si>
    <t>Revenue rose 4% YoY to USD 19.5M; operating margin 1.7%. Some line items were not disclosed.</t>
  </si>
  <si>
    <t>B147</t>
  </si>
  <si>
    <t>Falia Home &amp; Lab Stores (Thailand) Co., Ltd.</t>
  </si>
  <si>
    <t xml:space="preserve">D/A 60 days </t>
  </si>
  <si>
    <t>381 days</t>
  </si>
  <si>
    <t>2014.9.11</t>
  </si>
  <si>
    <t>Revenue fell 2% YoY to USD 25.2M; operating margin 4.5%. Some line items were not disclosed.</t>
  </si>
  <si>
    <t>B148</t>
  </si>
  <si>
    <t>Rovella Water Services FZE</t>
  </si>
  <si>
    <t>T/T 60DAYS</t>
  </si>
  <si>
    <t>21/07/2023</t>
  </si>
  <si>
    <t>Revenue rose 17% YoY to USD 237.4M; operating margin 9.4%.</t>
  </si>
  <si>
    <t>B149</t>
  </si>
  <si>
    <t>Changzhou Briasta Distribution Co., Ltd.</t>
  </si>
  <si>
    <t>OPEN ACCT 90D</t>
  </si>
  <si>
    <t>02/06/2016</t>
  </si>
  <si>
    <t>Revenue rose 17% YoY to USD 44.8M; operating margin 9.3%.</t>
  </si>
  <si>
    <t>B150</t>
  </si>
  <si>
    <t>Yorova Machinery plc</t>
  </si>
  <si>
    <t>2022.9.25</t>
  </si>
  <si>
    <t>Revenue rose 20% YoY to USD 8.9M; operating margin 3.4%.</t>
  </si>
  <si>
    <t>원래 표기</t>
  </si>
  <si>
    <t>메모</t>
  </si>
  <si>
    <t>TT ADVANCE</t>
  </si>
  <si>
    <t>T/T</t>
  </si>
  <si>
    <t>표기만으로는 선적 전 · 후를 알 수 없다 — 공개 사전은 TT_ADV로 두었다. 원장(인보이스)에서 확인할 표기</t>
  </si>
  <si>
    <t>D/A 60 days after B/L</t>
  </si>
  <si>
    <t>L/C at sight</t>
  </si>
  <si>
    <t>Sight L/C</t>
  </si>
  <si>
    <t>LC 60 days usance</t>
  </si>
  <si>
    <t>원천: data/data_dictionary.xlsx 시트 payment_terms_map(42개 표기) — 열 순서는 내 코드표 CSV의 앞 두 열(원래 표기 · 표준 코드)과 같습니다</t>
  </si>
</sst>
</file>

<file path=xl/styles.xml><?xml version="1.0" encoding="utf-8"?>
<styleSheet xmlns="http://schemas.openxmlformats.org/spreadsheetml/2006/main">
  <numFmts count="1">
    <numFmt numFmtId="164" formatCode="0.0%"/>
  </numFmts>
  <fonts count="8">
    <font>
      <sz val="10"/>
      <color theme="1"/>
      <name val="맑은 고딕"/>
      <family val="2"/>
    </font>
    <font>
      <b/>
      <sz val="14"/>
      <color rgb="FF0B2A4A"/>
      <name val="맑은 고딕"/>
      <family val="2"/>
    </font>
    <font>
      <sz val="10"/>
      <color rgb="FF5B6B7B"/>
      <name val="맑은 고딕"/>
      <family val="2"/>
    </font>
    <font>
      <b/>
      <sz val="10"/>
      <color rgb="FF0B5CAD"/>
      <name val="맑은 고딕"/>
      <family val="2"/>
    </font>
    <font>
      <b/>
      <sz val="10"/>
      <color rgb="FFFFFFFF"/>
      <name val="맑은 고딕"/>
      <family val="2"/>
    </font>
    <font>
      <b/>
      <sz val="10"/>
      <color theme="1"/>
      <name val="Consolas"/>
      <family val="2"/>
    </font>
    <font>
      <b/>
      <sz val="10"/>
      <color theme="1"/>
      <name val="맑은 고딕"/>
      <family val="2"/>
    </font>
    <font>
      <sz val="10"/>
      <color rgb="FF8A4B00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0B2A4A"/>
        <bgColor indexed="64"/>
      </patternFill>
    </fill>
    <fill>
      <patternFill patternType="solid">
        <fgColor rgb="FFEEF3F8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AF4EA"/>
        <bgColor indexed="64"/>
      </patternFill>
    </fill>
  </fills>
  <borders count="2">
    <border>
      <left/>
      <right/>
      <top/>
      <bottom/>
      <diagonal/>
    </border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/>
    <xf numFmtId="0" fontId="0" fillId="0" borderId="1" xfId="0" applyBorder="1"/>
    <xf numFmtId="1" fontId="0" fillId="0" borderId="1" xfId="0" applyNumberFormat="1" applyBorder="1"/>
    <xf numFmtId="164" fontId="6" fillId="0" borderId="1" xfId="0" applyNumberFormat="1" applyFont="1" applyBorder="1"/>
    <xf numFmtId="0" fontId="6" fillId="3" borderId="1" xfId="0" applyFont="1" applyFill="1" applyBorder="1"/>
    <xf numFmtId="1" fontId="6" fillId="3" borderId="1" xfId="0" applyNumberFormat="1" applyFont="1" applyFill="1" applyBorder="1"/>
    <xf numFmtId="164" fontId="6" fillId="3" borderId="1" xfId="0" applyNumberFormat="1" applyFont="1" applyFill="1" applyBorder="1"/>
    <xf numFmtId="0" fontId="4" fillId="4" borderId="1" xfId="0" applyFont="1" applyFill="1" applyBorder="1"/>
    <xf numFmtId="0" fontId="0" fillId="5" borderId="1" xfId="0" applyFill="1" applyBorder="1"/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결제방식별 연체 바이어 비율 — 원천 그대로 단순 집계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연체 바이어 비율</c:v>
          </c:tx>
          <c:spPr>
            <a:solidFill>
              <a:srgbClr val="1F6FB2"/>
            </a:solidFill>
          </c:spPr>
          <c:dLbls>
            <c:numFmt formatCode="0.0%" sourceLinked="0"/>
            <c:showVal val="1"/>
          </c:dLbls>
          <c:cat>
            <c:strRef>
              <c:f>결제방식_피벗!$A$4:$A$11</c:f>
              <c:strCache>
                <c:ptCount val="8"/>
                <c:pt idx="0">
                  <c:v>TT_ADV</c:v>
                </c:pt>
                <c:pt idx="1">
                  <c:v>TT_SPLIT_30_70</c:v>
                </c:pt>
                <c:pt idx="2">
                  <c:v>LC_SIGHT</c:v>
                </c:pt>
                <c:pt idx="3">
                  <c:v>LC_USANCE</c:v>
                </c:pt>
                <c:pt idx="4">
                  <c:v>DP</c:v>
                </c:pt>
                <c:pt idx="5">
                  <c:v>DA</c:v>
                </c:pt>
                <c:pt idx="6">
                  <c:v>OA</c:v>
                </c:pt>
                <c:pt idx="7">
                  <c:v>미분류</c:v>
                </c:pt>
              </c:strCache>
            </c:strRef>
          </c:cat>
          <c:val>
            <c:numRef>
              <c:f>결제방식_피벗!$G$4:$G$11</c:f>
              <c:numCache>
                <c:formatCode>General</c:formatCode>
                <c:ptCount val="8"/>
                <c:pt idx="0">
                  <c:v>0.0</c:v>
                </c:pt>
                <c:pt idx="1">
                  <c:v>0.125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0.2</c:v>
                </c:pt>
                <c:pt idx="6">
                  <c:v>0.17721518987341772</c:v>
                </c:pt>
                <c:pt idx="7">
                  <c:v>0.38461538461538464</c:v>
                </c:pt>
              </c:numCache>
            </c:numRef>
          </c:val>
        </c:ser>
        <c:gapWidth val="6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txPr>
          <a:bodyPr rot="-18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>
          <c:spPr>
            <a:ln>
              <a:solidFill>
                <a:srgbClr val="E3E8EE"/>
              </a:solidFill>
            </a:ln>
          </c:spPr>
        </c:majorGridlines>
        <c:numFmt formatCode="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419100</xdr:colOff>
      <xdr:row>16</xdr:row>
      <xdr:rowOff>190500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14.7109375" customWidth="1"/>
    <col min="2" max="2" width="104.7109375" customWidth="1"/>
  </cols>
  <sheetData>
    <row r="1" spans="1:2">
      <c r="A1" s="1" t="s">
        <v>0</v>
      </c>
    </row>
    <row r="2" spans="1:2" ht="16" customHeight="1">
      <c r="A2" s="2" t="s">
        <v>1</v>
      </c>
    </row>
    <row r="4" spans="1:2">
      <c r="A4" s="3" t="s">
        <v>2</v>
      </c>
      <c r="B4" s="4" t="s">
        <v>3</v>
      </c>
    </row>
    <row r="5" spans="1:2" ht="30" customHeight="1">
      <c r="A5" s="3" t="s">
        <v>4</v>
      </c>
      <c r="B5" s="4" t="s">
        <v>5</v>
      </c>
    </row>
    <row r="6" spans="1:2" ht="30" customHeight="1">
      <c r="A6" s="3" t="s">
        <v>6</v>
      </c>
      <c r="B6" s="4" t="s">
        <v>7</v>
      </c>
    </row>
    <row r="7" spans="1:2">
      <c r="A7" s="3" t="s">
        <v>8</v>
      </c>
      <c r="B7" s="4" t="s">
        <v>9</v>
      </c>
    </row>
    <row r="8" spans="1:2" ht="30" customHeight="1">
      <c r="A8" s="3" t="s">
        <v>10</v>
      </c>
      <c r="B8" s="4" t="s">
        <v>11</v>
      </c>
    </row>
    <row r="9" spans="1:2" ht="30" customHeight="1">
      <c r="A9" s="3" t="s">
        <v>12</v>
      </c>
      <c r="B9" s="4" t="s">
        <v>13</v>
      </c>
    </row>
    <row r="10" spans="1:2" ht="45" customHeight="1">
      <c r="A10" s="3" t="s">
        <v>14</v>
      </c>
      <c r="B10" s="4" t="s">
        <v>15</v>
      </c>
    </row>
    <row r="11" spans="1:2" ht="45" customHeight="1">
      <c r="A11" s="3" t="s">
        <v>16</v>
      </c>
      <c r="B11" s="4" t="s">
        <v>17</v>
      </c>
    </row>
    <row r="12" spans="1:2" ht="30" customHeight="1">
      <c r="A12" s="3" t="s">
        <v>18</v>
      </c>
      <c r="B12" s="4" t="s">
        <v>19</v>
      </c>
    </row>
    <row r="13" spans="1:2" ht="30" customHeight="1">
      <c r="A13" s="3" t="s">
        <v>20</v>
      </c>
      <c r="B13" s="4" t="s">
        <v>21</v>
      </c>
    </row>
    <row r="14" spans="1:2" ht="30" customHeight="1">
      <c r="A14" s="3" t="s">
        <v>22</v>
      </c>
      <c r="B14" s="4" t="s">
        <v>23</v>
      </c>
    </row>
    <row r="15" spans="1:2" ht="30" customHeight="1">
      <c r="A15" s="3" t="s">
        <v>24</v>
      </c>
      <c r="B15" s="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7.7109375" customWidth="1"/>
    <col min="2" max="2" width="30.7109375" customWidth="1"/>
    <col min="3" max="7" width="13.7109375" customWidth="1"/>
  </cols>
  <sheetData>
    <row r="1" spans="1:7">
      <c r="A1" s="1" t="s">
        <v>26</v>
      </c>
    </row>
    <row r="2" spans="1:7">
      <c r="A2" s="2" t="s">
        <v>27</v>
      </c>
    </row>
    <row r="3" spans="1:7" ht="30" customHeight="1">
      <c r="A3" s="5" t="s">
        <v>28</v>
      </c>
      <c r="B3" s="5" t="s">
        <v>29</v>
      </c>
      <c r="C3" s="5" t="s">
        <v>30</v>
      </c>
      <c r="D3" s="5" t="s">
        <v>31</v>
      </c>
      <c r="E3" s="5" t="s">
        <v>32</v>
      </c>
      <c r="F3" s="5" t="s">
        <v>33</v>
      </c>
      <c r="G3" s="5" t="s">
        <v>34</v>
      </c>
    </row>
    <row r="4" spans="1:7">
      <c r="A4" s="6" t="s">
        <v>35</v>
      </c>
      <c r="B4" s="7" t="s">
        <v>36</v>
      </c>
      <c r="C4" s="8">
        <f>COUNTIF(buyers!$X$2:$X$154,A4)</f>
        <v>12</v>
      </c>
      <c r="D4" s="8">
        <f>COUNTIFS(buyers!$X$2:$X$154,A4,buyers!$Y$2:$Y$154,"")</f>
        <v>0</v>
      </c>
      <c r="E4" s="8">
        <f>C4-D4</f>
        <v>12</v>
      </c>
      <c r="F4" s="8">
        <f>SUMIF(buyers!$X$2:$X$154,A4,buyers!$Y$2:$Y$154)</f>
        <v>0</v>
      </c>
      <c r="G4" s="9">
        <f>IF(E4=0,"",F4/E4)</f>
        <v>0.0</v>
      </c>
    </row>
    <row r="5" spans="1:7">
      <c r="A5" s="6" t="s">
        <v>37</v>
      </c>
      <c r="B5" s="7" t="s">
        <v>38</v>
      </c>
      <c r="C5" s="8">
        <f>COUNTIF(buyers!$X$2:$X$154,A5)</f>
        <v>8</v>
      </c>
      <c r="D5" s="8">
        <f>COUNTIFS(buyers!$X$2:$X$154,A5,buyers!$Y$2:$Y$154,"")</f>
        <v>0</v>
      </c>
      <c r="E5" s="8">
        <f>C5-D5</f>
        <v>8</v>
      </c>
      <c r="F5" s="8">
        <f>SUMIF(buyers!$X$2:$X$154,A5,buyers!$Y$2:$Y$154)</f>
        <v>1</v>
      </c>
      <c r="G5" s="9">
        <f>IF(E5=0,"",F5/E5)</f>
        <v>0.125</v>
      </c>
    </row>
    <row r="6" spans="1:7">
      <c r="A6" s="6" t="s">
        <v>39</v>
      </c>
      <c r="B6" s="7" t="s">
        <v>40</v>
      </c>
      <c r="C6" s="8">
        <f>COUNTIF(buyers!$X$2:$X$154,A6)</f>
        <v>9</v>
      </c>
      <c r="D6" s="8">
        <f>COUNTIFS(buyers!$X$2:$X$154,A6,buyers!$Y$2:$Y$154,"")</f>
        <v>0</v>
      </c>
      <c r="E6" s="8">
        <f>C6-D6</f>
        <v>9</v>
      </c>
      <c r="F6" s="8">
        <f>SUMIF(buyers!$X$2:$X$154,A6,buyers!$Y$2:$Y$154)</f>
        <v>0</v>
      </c>
      <c r="G6" s="9">
        <f>IF(E6=0,"",F6/E6)</f>
        <v>0.0</v>
      </c>
    </row>
    <row r="7" spans="1:7">
      <c r="A7" s="6" t="s">
        <v>41</v>
      </c>
      <c r="B7" s="7" t="s">
        <v>42</v>
      </c>
      <c r="C7" s="8">
        <f>COUNTIF(buyers!$X$2:$X$154,A7)</f>
        <v>4</v>
      </c>
      <c r="D7" s="8">
        <f>COUNTIFS(buyers!$X$2:$X$154,A7,buyers!$Y$2:$Y$154,"")</f>
        <v>0</v>
      </c>
      <c r="E7" s="8">
        <f>C7-D7</f>
        <v>4</v>
      </c>
      <c r="F7" s="8">
        <f>SUMIF(buyers!$X$2:$X$154,A7,buyers!$Y$2:$Y$154)</f>
        <v>0</v>
      </c>
      <c r="G7" s="9">
        <f>IF(E7=0,"",F7/E7)</f>
        <v>0.0</v>
      </c>
    </row>
    <row r="8" spans="1:7">
      <c r="A8" s="6" t="s">
        <v>43</v>
      </c>
      <c r="B8" s="7" t="s">
        <v>44</v>
      </c>
      <c r="C8" s="8">
        <f>COUNTIF(buyers!$X$2:$X$154,A8)</f>
        <v>4</v>
      </c>
      <c r="D8" s="8">
        <f>COUNTIFS(buyers!$X$2:$X$154,A8,buyers!$Y$2:$Y$154,"")</f>
        <v>0</v>
      </c>
      <c r="E8" s="8">
        <f>C8-D8</f>
        <v>4</v>
      </c>
      <c r="F8" s="8">
        <f>SUMIF(buyers!$X$2:$X$154,A8,buyers!$Y$2:$Y$154)</f>
        <v>0</v>
      </c>
      <c r="G8" s="9">
        <f>IF(E8=0,"",F8/E8)</f>
        <v>0.0</v>
      </c>
    </row>
    <row r="9" spans="1:7">
      <c r="A9" s="6" t="s">
        <v>45</v>
      </c>
      <c r="B9" s="7" t="s">
        <v>46</v>
      </c>
      <c r="C9" s="8">
        <f>COUNTIF(buyers!$X$2:$X$154,A9)</f>
        <v>22</v>
      </c>
      <c r="D9" s="8">
        <f>COUNTIFS(buyers!$X$2:$X$154,A9,buyers!$Y$2:$Y$154,"")</f>
        <v>2</v>
      </c>
      <c r="E9" s="8">
        <f>C9-D9</f>
        <v>20</v>
      </c>
      <c r="F9" s="8">
        <f>SUMIF(buyers!$X$2:$X$154,A9,buyers!$Y$2:$Y$154)</f>
        <v>4</v>
      </c>
      <c r="G9" s="9">
        <f>IF(E9=0,"",F9/E9)</f>
        <v>0.2</v>
      </c>
    </row>
    <row r="10" spans="1:7">
      <c r="A10" s="6" t="s">
        <v>47</v>
      </c>
      <c r="B10" s="7" t="s">
        <v>48</v>
      </c>
      <c r="C10" s="8">
        <f>COUNTIF(buyers!$X$2:$X$154,A10)</f>
        <v>81</v>
      </c>
      <c r="D10" s="8">
        <f>COUNTIFS(buyers!$X$2:$X$154,A10,buyers!$Y$2:$Y$154,"")</f>
        <v>2</v>
      </c>
      <c r="E10" s="8">
        <f>C10-D10</f>
        <v>79</v>
      </c>
      <c r="F10" s="8">
        <f>SUMIF(buyers!$X$2:$X$154,A10,buyers!$Y$2:$Y$154)</f>
        <v>14</v>
      </c>
      <c r="G10" s="9">
        <f>IF(E10=0,"",F10/E10)</f>
        <v>0.17721518987341772</v>
      </c>
    </row>
    <row r="11" spans="1:7">
      <c r="A11" s="6" t="s">
        <v>49</v>
      </c>
      <c r="B11" s="7" t="s">
        <v>50</v>
      </c>
      <c r="C11" s="8">
        <f>COUNTIF(buyers!$X$2:$X$154,A11)</f>
        <v>13</v>
      </c>
      <c r="D11" s="8">
        <f>COUNTIFS(buyers!$X$2:$X$154,A11,buyers!$Y$2:$Y$154,"")</f>
        <v>0</v>
      </c>
      <c r="E11" s="8">
        <f>C11-D11</f>
        <v>13</v>
      </c>
      <c r="F11" s="8">
        <f>SUMIF(buyers!$X$2:$X$154,A11,buyers!$Y$2:$Y$154)</f>
        <v>5</v>
      </c>
      <c r="G11" s="9">
        <f>IF(E11=0,"",F11/E11)</f>
        <v>0.38461538461538464</v>
      </c>
    </row>
    <row r="12" spans="1:7">
      <c r="A12" s="10" t="s">
        <v>51</v>
      </c>
      <c r="B12" s="10" t="s">
        <v>52</v>
      </c>
      <c r="C12" s="11">
        <f>SUM(C4:C11)</f>
        <v>153</v>
      </c>
      <c r="D12" s="11">
        <f>SUM(D4:D11)</f>
        <v>4</v>
      </c>
      <c r="E12" s="11">
        <f>SUM(E4:E11)</f>
        <v>149</v>
      </c>
      <c r="F12" s="11">
        <f>SUM(F4:F11)</f>
        <v>24</v>
      </c>
      <c r="G12" s="12">
        <f>IF(E12=0,"",F12/E12)</f>
        <v>0.1610738255033557</v>
      </c>
    </row>
    <row r="14" spans="1:7">
      <c r="A14" s="3" t="s">
        <v>53</v>
      </c>
      <c r="B14" s="8">
        <f>COUNTA(buyers!$A$2:$A$154)-C12</f>
        <v>0</v>
      </c>
      <c r="C14" s="2" t="s">
        <v>54</v>
      </c>
    </row>
    <row r="16" spans="1:7" ht="30" customHeight="1">
      <c r="A16" s="3" t="s">
        <v>55</v>
      </c>
      <c r="B16" s="2" t="s">
        <v>56</v>
      </c>
    </row>
    <row r="17" spans="1:2" ht="30" customHeight="1">
      <c r="A17" s="2"/>
      <c r="B17" s="2" t="s">
        <v>57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5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42578125" customWidth="1"/>
    <col min="2" max="2" width="40.7109375" customWidth="1"/>
    <col min="3" max="3" width="18.7109375" customWidth="1"/>
    <col min="4" max="4" width="12.7109375" customWidth="1"/>
    <col min="5" max="5" width="14.7109375" customWidth="1"/>
    <col min="6" max="6" width="18.7109375" customWidth="1"/>
    <col min="7" max="7" width="10.7109375" customWidth="1"/>
    <col min="8" max="8" width="12.7109375" customWidth="1"/>
    <col min="9" max="9" width="40.7109375" customWidth="1"/>
    <col min="10" max="11" width="12.7109375" customWidth="1"/>
    <col min="12" max="12" width="13.7109375" customWidth="1"/>
    <col min="13" max="13" width="15.7109375" customWidth="1"/>
    <col min="14" max="15" width="10.7109375" customWidth="1"/>
    <col min="16" max="16" width="12.7109375" customWidth="1"/>
    <col min="17" max="17" width="13.7109375" customWidth="1"/>
    <col min="18" max="18" width="50.7109375" customWidth="1"/>
    <col min="19" max="21" width="18.7109375" customWidth="1"/>
    <col min="22" max="22" width="12.7109375" customWidth="1"/>
    <col min="23" max="23" width="16.7109375" customWidth="1"/>
    <col min="24" max="24" width="15.7109375" customWidth="1"/>
    <col min="25" max="25" width="9.7109375" customWidth="1"/>
  </cols>
  <sheetData>
    <row r="1" spans="1:25">
      <c r="A1" s="5" t="s">
        <v>58</v>
      </c>
      <c r="B1" s="5" t="s">
        <v>59</v>
      </c>
      <c r="C1" s="5" t="s">
        <v>60</v>
      </c>
      <c r="D1" s="5" t="s">
        <v>61</v>
      </c>
      <c r="E1" s="5" t="s">
        <v>62</v>
      </c>
      <c r="F1" s="5" t="s">
        <v>63</v>
      </c>
      <c r="G1" s="5" t="s">
        <v>64</v>
      </c>
      <c r="H1" s="5" t="s">
        <v>65</v>
      </c>
      <c r="I1" s="5" t="s">
        <v>66</v>
      </c>
      <c r="J1" s="5" t="s">
        <v>67</v>
      </c>
      <c r="K1" s="5" t="s">
        <v>68</v>
      </c>
      <c r="L1" s="5" t="s">
        <v>69</v>
      </c>
      <c r="M1" s="5" t="s">
        <v>70</v>
      </c>
      <c r="N1" s="5" t="s">
        <v>71</v>
      </c>
      <c r="O1" s="5" t="s">
        <v>72</v>
      </c>
      <c r="P1" s="5" t="s">
        <v>73</v>
      </c>
      <c r="Q1" s="5" t="s">
        <v>74</v>
      </c>
      <c r="R1" s="5" t="s">
        <v>75</v>
      </c>
      <c r="S1" s="5" t="s">
        <v>76</v>
      </c>
      <c r="T1" s="5" t="s">
        <v>77</v>
      </c>
      <c r="U1" s="5" t="s">
        <v>78</v>
      </c>
      <c r="V1" s="5" t="s">
        <v>79</v>
      </c>
      <c r="W1" s="5" t="s">
        <v>80</v>
      </c>
      <c r="X1" s="13" t="s">
        <v>81</v>
      </c>
      <c r="Y1" s="13" t="s">
        <v>82</v>
      </c>
    </row>
    <row r="2" spans="1:25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>
        <v>23730</v>
      </c>
      <c r="K2" t="s">
        <v>92</v>
      </c>
      <c r="L2">
        <v>0</v>
      </c>
      <c r="M2">
        <v>0</v>
      </c>
      <c r="O2" t="s">
        <v>93</v>
      </c>
      <c r="P2" t="s">
        <v>94</v>
      </c>
      <c r="Q2" t="s">
        <v>95</v>
      </c>
      <c r="R2" t="s">
        <v>96</v>
      </c>
      <c r="S2">
        <v>6846000</v>
      </c>
      <c r="T2">
        <v>1.631</v>
      </c>
      <c r="U2">
        <v>0.6007</v>
      </c>
      <c r="V2">
        <v>34.76</v>
      </c>
      <c r="W2">
        <v>0.1183</v>
      </c>
      <c r="X2" s="14" t="str">
        <f>IFERROR(INDEX('코드표'!$B$2:$B$500,MATCH(TRIM(I2),'코드표'!$A$2:$A$500,0)),"미분류")</f>
        <v>OA</v>
      </c>
      <c r="Y2" s="14">
        <f>IFERROR(IF(--L2&gt;0,1,0),"")</f>
        <v>0</v>
      </c>
    </row>
    <row r="3" spans="1:25">
      <c r="A3" t="s">
        <v>97</v>
      </c>
      <c r="B3" t="s">
        <v>98</v>
      </c>
      <c r="C3" t="s">
        <v>99</v>
      </c>
      <c r="D3" t="s">
        <v>100</v>
      </c>
      <c r="E3" t="s">
        <v>101</v>
      </c>
      <c r="F3" t="s">
        <v>102</v>
      </c>
      <c r="G3" t="s">
        <v>89</v>
      </c>
      <c r="H3" t="s">
        <v>90</v>
      </c>
      <c r="I3" t="s">
        <v>103</v>
      </c>
      <c r="J3" t="s">
        <v>104</v>
      </c>
      <c r="K3" t="s">
        <v>105</v>
      </c>
      <c r="L3">
        <v>0</v>
      </c>
      <c r="M3">
        <v>0</v>
      </c>
      <c r="N3">
        <v>79</v>
      </c>
      <c r="O3">
        <v>2</v>
      </c>
      <c r="P3" t="s">
        <v>94</v>
      </c>
      <c r="Q3" t="s">
        <v>106</v>
      </c>
      <c r="R3" t="s">
        <v>107</v>
      </c>
      <c r="S3">
        <v>8185000</v>
      </c>
      <c r="T3">
        <v>1.7722</v>
      </c>
      <c r="U3">
        <v>1.0233</v>
      </c>
      <c r="V3">
        <v>41.7</v>
      </c>
      <c r="W3">
        <v>0.0672</v>
      </c>
      <c r="X3" s="14" t="str">
        <f>IFERROR(INDEX('코드표'!$B$2:$B$500,MATCH(TRIM(I3),'코드표'!$A$2:$A$500,0)),"미분류")</f>
        <v>OA</v>
      </c>
      <c r="Y3" s="14">
        <f>IFERROR(IF(--L3&gt;0,1,0),"")</f>
        <v>0</v>
      </c>
    </row>
    <row r="4" spans="1:25">
      <c r="A4" t="s">
        <v>108</v>
      </c>
      <c r="B4" t="s">
        <v>109</v>
      </c>
      <c r="C4" t="s">
        <v>110</v>
      </c>
      <c r="D4" t="s">
        <v>111</v>
      </c>
      <c r="E4" t="s">
        <v>112</v>
      </c>
      <c r="F4" t="s">
        <v>102</v>
      </c>
      <c r="G4" t="s">
        <v>89</v>
      </c>
      <c r="H4" t="s">
        <v>90</v>
      </c>
      <c r="I4" t="s">
        <v>113</v>
      </c>
      <c r="J4">
        <v>0</v>
      </c>
      <c r="K4" t="s">
        <v>105</v>
      </c>
      <c r="L4">
        <v>0</v>
      </c>
      <c r="M4">
        <v>0</v>
      </c>
      <c r="N4">
        <v>78</v>
      </c>
      <c r="O4">
        <v>3</v>
      </c>
      <c r="P4" t="s">
        <v>94</v>
      </c>
      <c r="Q4" t="s">
        <v>114</v>
      </c>
      <c r="R4" t="s">
        <v>115</v>
      </c>
      <c r="S4">
        <v>5343000</v>
      </c>
      <c r="T4">
        <v>1.446</v>
      </c>
      <c r="V4">
        <v>80.68000000000001</v>
      </c>
      <c r="W4">
        <v>-0.052</v>
      </c>
      <c r="X4" s="14" t="str">
        <f>IFERROR(INDEX('코드표'!$B$2:$B$500,MATCH(TRIM(I4),'코드표'!$A$2:$A$500,0)),"미분류")</f>
        <v>DA</v>
      </c>
      <c r="Y4" s="14">
        <f>IFERROR(IF(--L4&gt;0,1,0),"")</f>
        <v>0</v>
      </c>
    </row>
    <row r="5" spans="1:25">
      <c r="A5" t="s">
        <v>116</v>
      </c>
      <c r="B5" t="s">
        <v>117</v>
      </c>
      <c r="C5" t="s">
        <v>118</v>
      </c>
      <c r="D5" t="s">
        <v>119</v>
      </c>
      <c r="E5" t="s">
        <v>120</v>
      </c>
      <c r="F5" t="s">
        <v>102</v>
      </c>
      <c r="G5" t="s">
        <v>89</v>
      </c>
      <c r="H5" t="s">
        <v>90</v>
      </c>
      <c r="I5" t="s">
        <v>121</v>
      </c>
      <c r="J5">
        <v>0</v>
      </c>
      <c r="K5" t="s">
        <v>105</v>
      </c>
      <c r="L5">
        <v>0</v>
      </c>
      <c r="M5">
        <v>0</v>
      </c>
      <c r="O5">
        <v>6</v>
      </c>
      <c r="P5" t="s">
        <v>94</v>
      </c>
      <c r="Q5" t="s">
        <v>122</v>
      </c>
      <c r="R5" t="s">
        <v>123</v>
      </c>
      <c r="S5">
        <v>73932000</v>
      </c>
      <c r="T5">
        <v>2.1786</v>
      </c>
      <c r="U5">
        <v>1.323</v>
      </c>
      <c r="V5">
        <v>30.31</v>
      </c>
      <c r="W5">
        <v>0.0723</v>
      </c>
      <c r="X5" s="14" t="str">
        <f>IFERROR(INDEX('코드표'!$B$2:$B$500,MATCH(TRIM(I5),'코드표'!$A$2:$A$500,0)),"미분류")</f>
        <v>LC_SIGHT</v>
      </c>
      <c r="Y5" s="14">
        <f>IFERROR(IF(--L5&gt;0,1,0),"")</f>
        <v>0</v>
      </c>
    </row>
    <row r="6" spans="1:25">
      <c r="A6" t="s">
        <v>124</v>
      </c>
      <c r="B6" t="s">
        <v>125</v>
      </c>
      <c r="C6" t="s">
        <v>126</v>
      </c>
      <c r="D6" t="s">
        <v>127</v>
      </c>
      <c r="E6" t="s">
        <v>112</v>
      </c>
      <c r="F6" t="s">
        <v>128</v>
      </c>
      <c r="G6" t="s">
        <v>89</v>
      </c>
      <c r="H6" t="s">
        <v>90</v>
      </c>
      <c r="I6" t="s">
        <v>129</v>
      </c>
      <c r="J6">
        <v>346360</v>
      </c>
      <c r="K6" t="s">
        <v>130</v>
      </c>
      <c r="L6">
        <v>13</v>
      </c>
      <c r="M6">
        <v>19920</v>
      </c>
      <c r="N6">
        <v>71</v>
      </c>
      <c r="O6">
        <v>3</v>
      </c>
      <c r="P6" t="s">
        <v>131</v>
      </c>
      <c r="Q6" t="s">
        <v>132</v>
      </c>
      <c r="R6" t="s">
        <v>133</v>
      </c>
      <c r="S6">
        <v>204875000</v>
      </c>
      <c r="U6">
        <v>0.9715</v>
      </c>
      <c r="V6">
        <v>31.33</v>
      </c>
      <c r="W6">
        <v>0.1337</v>
      </c>
      <c r="X6" s="14" t="str">
        <f>IFERROR(INDEX('코드표'!$B$2:$B$500,MATCH(TRIM(I6),'코드표'!$A$2:$A$500,0)),"미분류")</f>
        <v>OA</v>
      </c>
      <c r="Y6" s="14">
        <f>IFERROR(IF(--L6&gt;0,1,0),"")</f>
        <v>1</v>
      </c>
    </row>
    <row r="7" spans="1:25">
      <c r="A7" t="s">
        <v>134</v>
      </c>
      <c r="B7" t="s">
        <v>135</v>
      </c>
      <c r="C7" t="s">
        <v>136</v>
      </c>
      <c r="D7" t="s">
        <v>137</v>
      </c>
      <c r="E7" t="s">
        <v>112</v>
      </c>
      <c r="F7" t="s">
        <v>102</v>
      </c>
      <c r="G7" t="s">
        <v>89</v>
      </c>
      <c r="H7" t="s">
        <v>90</v>
      </c>
      <c r="I7" t="s">
        <v>138</v>
      </c>
      <c r="J7">
        <v>0</v>
      </c>
      <c r="K7" t="s">
        <v>105</v>
      </c>
      <c r="L7">
        <v>0</v>
      </c>
      <c r="M7">
        <v>0</v>
      </c>
      <c r="O7">
        <v>2</v>
      </c>
      <c r="P7" t="s">
        <v>131</v>
      </c>
      <c r="Q7" t="s">
        <v>139</v>
      </c>
      <c r="R7" t="s">
        <v>140</v>
      </c>
      <c r="X7" s="14" t="str">
        <f>IFERROR(INDEX('코드표'!$B$2:$B$500,MATCH(TRIM(I7),'코드표'!$A$2:$A$500,0)),"미분류")</f>
        <v>OA</v>
      </c>
      <c r="Y7" s="14">
        <f>IFERROR(IF(--L7&gt;0,1,0),"")</f>
        <v>0</v>
      </c>
    </row>
    <row r="8" spans="1:25">
      <c r="A8" t="s">
        <v>141</v>
      </c>
      <c r="B8" t="s">
        <v>142</v>
      </c>
      <c r="C8" t="s">
        <v>85</v>
      </c>
      <c r="D8" t="s">
        <v>86</v>
      </c>
      <c r="E8" t="s">
        <v>87</v>
      </c>
      <c r="F8" t="s">
        <v>128</v>
      </c>
      <c r="G8" t="s">
        <v>89</v>
      </c>
      <c r="H8" t="s">
        <v>90</v>
      </c>
      <c r="I8" t="s">
        <v>143</v>
      </c>
      <c r="K8" t="s">
        <v>92</v>
      </c>
      <c r="L8">
        <v>0</v>
      </c>
      <c r="M8">
        <v>0</v>
      </c>
      <c r="N8">
        <v>60</v>
      </c>
      <c r="O8" t="s">
        <v>93</v>
      </c>
      <c r="P8" t="s">
        <v>131</v>
      </c>
      <c r="Q8" t="s">
        <v>144</v>
      </c>
      <c r="R8" t="s">
        <v>145</v>
      </c>
      <c r="S8">
        <v>27528000</v>
      </c>
      <c r="T8">
        <v>2.3736</v>
      </c>
      <c r="U8">
        <v>0.4913</v>
      </c>
      <c r="V8">
        <v>55.17</v>
      </c>
      <c r="W8">
        <v>0.0631</v>
      </c>
      <c r="X8" s="14" t="str">
        <f>IFERROR(INDEX('코드표'!$B$2:$B$500,MATCH(TRIM(I8),'코드표'!$A$2:$A$500,0)),"미분류")</f>
        <v>OA</v>
      </c>
      <c r="Y8" s="14">
        <f>IFERROR(IF(--L8&gt;0,1,0),"")</f>
        <v>0</v>
      </c>
    </row>
    <row r="9" spans="1:25">
      <c r="A9" t="s">
        <v>146</v>
      </c>
      <c r="B9" t="s">
        <v>147</v>
      </c>
      <c r="C9" t="s">
        <v>148</v>
      </c>
      <c r="D9" t="s">
        <v>149</v>
      </c>
      <c r="E9" t="s">
        <v>87</v>
      </c>
      <c r="F9" t="s">
        <v>102</v>
      </c>
      <c r="G9" t="s">
        <v>89</v>
      </c>
      <c r="H9" t="s">
        <v>90</v>
      </c>
      <c r="I9" t="s">
        <v>150</v>
      </c>
      <c r="K9" t="s">
        <v>92</v>
      </c>
      <c r="L9">
        <v>31</v>
      </c>
      <c r="M9" t="s">
        <v>151</v>
      </c>
      <c r="N9">
        <v>82</v>
      </c>
      <c r="O9" t="s">
        <v>93</v>
      </c>
      <c r="P9" t="s">
        <v>131</v>
      </c>
      <c r="Q9" t="s">
        <v>152</v>
      </c>
      <c r="R9" t="s">
        <v>153</v>
      </c>
      <c r="S9">
        <v>14083000</v>
      </c>
      <c r="T9">
        <v>1.3349</v>
      </c>
      <c r="U9">
        <v>1.6475</v>
      </c>
      <c r="V9">
        <v>56.58</v>
      </c>
      <c r="W9">
        <v>0.08359999999999999</v>
      </c>
      <c r="X9" s="14" t="str">
        <f>IFERROR(INDEX('코드표'!$B$2:$B$500,MATCH(TRIM(I9),'코드표'!$A$2:$A$500,0)),"미분류")</f>
        <v>미분류</v>
      </c>
      <c r="Y9" s="14">
        <f>IFERROR(IF(--L9&gt;0,1,0),"")</f>
        <v>1</v>
      </c>
    </row>
    <row r="10" spans="1:25">
      <c r="A10" t="s">
        <v>154</v>
      </c>
      <c r="B10" t="s">
        <v>155</v>
      </c>
      <c r="C10" t="s">
        <v>99</v>
      </c>
      <c r="D10" t="s">
        <v>100</v>
      </c>
      <c r="E10" t="s">
        <v>101</v>
      </c>
      <c r="F10" t="s">
        <v>128</v>
      </c>
      <c r="G10" t="s">
        <v>89</v>
      </c>
      <c r="H10" t="s">
        <v>90</v>
      </c>
      <c r="I10" t="s">
        <v>113</v>
      </c>
      <c r="J10">
        <v>385600</v>
      </c>
      <c r="K10" t="s">
        <v>156</v>
      </c>
      <c r="L10">
        <v>0</v>
      </c>
      <c r="M10">
        <v>0</v>
      </c>
      <c r="O10">
        <v>2</v>
      </c>
      <c r="P10" t="s">
        <v>131</v>
      </c>
      <c r="Q10" t="s">
        <v>157</v>
      </c>
      <c r="R10" t="s">
        <v>158</v>
      </c>
      <c r="S10">
        <v>25116000</v>
      </c>
      <c r="T10">
        <v>1.0375</v>
      </c>
      <c r="U10">
        <v>5.7625</v>
      </c>
      <c r="V10">
        <v>82.02</v>
      </c>
      <c r="W10">
        <v>0.0236</v>
      </c>
      <c r="X10" s="14" t="str">
        <f>IFERROR(INDEX('코드표'!$B$2:$B$500,MATCH(TRIM(I10),'코드표'!$A$2:$A$500,0)),"미분류")</f>
        <v>DA</v>
      </c>
      <c r="Y10" s="14">
        <f>IFERROR(IF(--L10&gt;0,1,0),"")</f>
        <v>0</v>
      </c>
    </row>
    <row r="11" spans="1:25">
      <c r="A11" t="s">
        <v>159</v>
      </c>
      <c r="B11" t="s">
        <v>160</v>
      </c>
      <c r="C11" t="s">
        <v>161</v>
      </c>
      <c r="D11" t="s">
        <v>162</v>
      </c>
      <c r="E11" t="s">
        <v>163</v>
      </c>
      <c r="F11" t="s">
        <v>164</v>
      </c>
      <c r="G11" t="s">
        <v>89</v>
      </c>
      <c r="H11" t="s">
        <v>90</v>
      </c>
      <c r="I11" t="s">
        <v>165</v>
      </c>
      <c r="J11">
        <v>0</v>
      </c>
      <c r="K11" t="s">
        <v>92</v>
      </c>
      <c r="L11">
        <v>0</v>
      </c>
      <c r="M11">
        <v>0</v>
      </c>
      <c r="O11" t="s">
        <v>93</v>
      </c>
      <c r="P11" t="s">
        <v>94</v>
      </c>
      <c r="Q11" t="s">
        <v>166</v>
      </c>
      <c r="R11" t="s">
        <v>167</v>
      </c>
      <c r="S11">
        <v>5926000</v>
      </c>
      <c r="T11">
        <v>1.1533</v>
      </c>
      <c r="U11">
        <v>2.7635</v>
      </c>
      <c r="V11">
        <v>70.89</v>
      </c>
      <c r="W11">
        <v>0.0035</v>
      </c>
      <c r="X11" s="14" t="str">
        <f>IFERROR(INDEX('코드표'!$B$2:$B$500,MATCH(TRIM(I11),'코드표'!$A$2:$A$500,0)),"미분류")</f>
        <v>TT_ADV</v>
      </c>
      <c r="Y11" s="14">
        <f>IFERROR(IF(--L11&gt;0,1,0),"")</f>
        <v>0</v>
      </c>
    </row>
    <row r="12" spans="1:25">
      <c r="A12" t="s">
        <v>168</v>
      </c>
      <c r="B12" t="s">
        <v>169</v>
      </c>
      <c r="C12" t="s">
        <v>170</v>
      </c>
      <c r="D12" t="s">
        <v>171</v>
      </c>
      <c r="E12" t="s">
        <v>112</v>
      </c>
      <c r="F12" t="s">
        <v>172</v>
      </c>
      <c r="G12" t="s">
        <v>89</v>
      </c>
      <c r="H12" t="s">
        <v>90</v>
      </c>
      <c r="I12" t="s">
        <v>121</v>
      </c>
      <c r="J12">
        <v>0</v>
      </c>
      <c r="K12" t="s">
        <v>105</v>
      </c>
      <c r="L12">
        <v>0</v>
      </c>
      <c r="M12">
        <v>0</v>
      </c>
      <c r="O12">
        <v>3</v>
      </c>
      <c r="P12" t="s">
        <v>94</v>
      </c>
      <c r="Q12" t="s">
        <v>173</v>
      </c>
      <c r="R12" t="s">
        <v>174</v>
      </c>
      <c r="S12">
        <v>7731000</v>
      </c>
      <c r="T12">
        <v>1.1832</v>
      </c>
      <c r="U12">
        <v>4.8318</v>
      </c>
      <c r="X12" s="14" t="str">
        <f>IFERROR(INDEX('코드표'!$B$2:$B$500,MATCH(TRIM(I12),'코드표'!$A$2:$A$500,0)),"미분류")</f>
        <v>LC_SIGHT</v>
      </c>
      <c r="Y12" s="14">
        <f>IFERROR(IF(--L12&gt;0,1,0),"")</f>
        <v>0</v>
      </c>
    </row>
    <row r="13" spans="1:25">
      <c r="A13" t="s">
        <v>175</v>
      </c>
      <c r="B13" t="s">
        <v>176</v>
      </c>
      <c r="C13" t="s">
        <v>110</v>
      </c>
      <c r="D13" t="s">
        <v>111</v>
      </c>
      <c r="E13" t="s">
        <v>112</v>
      </c>
      <c r="F13" t="s">
        <v>102</v>
      </c>
      <c r="G13" t="s">
        <v>89</v>
      </c>
      <c r="H13" t="s">
        <v>90</v>
      </c>
      <c r="I13" t="s">
        <v>177</v>
      </c>
      <c r="J13">
        <v>0</v>
      </c>
      <c r="K13" t="s">
        <v>105</v>
      </c>
      <c r="L13">
        <v>0</v>
      </c>
      <c r="M13">
        <v>0</v>
      </c>
      <c r="N13">
        <v>79</v>
      </c>
      <c r="O13">
        <v>3</v>
      </c>
      <c r="P13" t="s">
        <v>94</v>
      </c>
      <c r="Q13" t="s">
        <v>178</v>
      </c>
      <c r="R13" t="s">
        <v>179</v>
      </c>
      <c r="S13">
        <v>10451000</v>
      </c>
      <c r="T13">
        <v>0.9616</v>
      </c>
      <c r="U13">
        <v>2.6465</v>
      </c>
      <c r="W13">
        <v>-0.0977</v>
      </c>
      <c r="X13" s="14" t="str">
        <f>IFERROR(INDEX('코드표'!$B$2:$B$500,MATCH(TRIM(I13),'코드표'!$A$2:$A$500,0)),"미분류")</f>
        <v>DP</v>
      </c>
      <c r="Y13" s="14">
        <f>IFERROR(IF(--L13&gt;0,1,0),"")</f>
        <v>0</v>
      </c>
    </row>
    <row r="14" spans="1:25">
      <c r="A14" t="s">
        <v>180</v>
      </c>
      <c r="B14" t="s">
        <v>181</v>
      </c>
      <c r="C14" t="s">
        <v>99</v>
      </c>
      <c r="D14" t="s">
        <v>100</v>
      </c>
      <c r="E14" t="s">
        <v>101</v>
      </c>
      <c r="F14" t="s">
        <v>102</v>
      </c>
      <c r="G14" t="s">
        <v>89</v>
      </c>
      <c r="H14" t="s">
        <v>90</v>
      </c>
      <c r="I14" t="s">
        <v>182</v>
      </c>
      <c r="J14">
        <v>0</v>
      </c>
      <c r="K14" t="s">
        <v>183</v>
      </c>
      <c r="L14">
        <v>0</v>
      </c>
      <c r="M14">
        <v>0</v>
      </c>
      <c r="O14">
        <v>2</v>
      </c>
      <c r="P14" t="s">
        <v>94</v>
      </c>
      <c r="Q14" t="s">
        <v>184</v>
      </c>
      <c r="R14" t="s">
        <v>185</v>
      </c>
      <c r="S14">
        <v>46504000</v>
      </c>
      <c r="T14">
        <v>0.36</v>
      </c>
      <c r="U14">
        <v>-7.2235</v>
      </c>
      <c r="V14">
        <v>86</v>
      </c>
      <c r="W14">
        <v>-0.2487</v>
      </c>
      <c r="X14" s="14" t="str">
        <f>IFERROR(INDEX('코드표'!$B$2:$B$500,MATCH(TRIM(I14),'코드표'!$A$2:$A$500,0)),"미분류")</f>
        <v>TT_ADV</v>
      </c>
      <c r="Y14" s="14">
        <f>IFERROR(IF(--L14&gt;0,1,0),"")</f>
        <v>0</v>
      </c>
    </row>
    <row r="15" spans="1:25">
      <c r="A15" t="s">
        <v>186</v>
      </c>
      <c r="B15" t="s">
        <v>187</v>
      </c>
      <c r="C15" t="s">
        <v>188</v>
      </c>
      <c r="D15" t="s">
        <v>189</v>
      </c>
      <c r="E15" t="s">
        <v>190</v>
      </c>
      <c r="F15" t="s">
        <v>88</v>
      </c>
      <c r="G15" t="s">
        <v>89</v>
      </c>
      <c r="H15" t="s">
        <v>90</v>
      </c>
      <c r="I15" t="s">
        <v>191</v>
      </c>
      <c r="J15">
        <v>29910</v>
      </c>
      <c r="K15" t="s">
        <v>105</v>
      </c>
      <c r="L15">
        <v>0</v>
      </c>
      <c r="M15">
        <v>0</v>
      </c>
      <c r="O15" t="s">
        <v>93</v>
      </c>
      <c r="P15" t="s">
        <v>94</v>
      </c>
      <c r="Q15" t="s">
        <v>192</v>
      </c>
      <c r="R15" t="s">
        <v>193</v>
      </c>
      <c r="S15">
        <v>148025000</v>
      </c>
      <c r="T15">
        <v>1.6759</v>
      </c>
      <c r="U15">
        <v>0.5598</v>
      </c>
      <c r="V15">
        <v>51.68</v>
      </c>
      <c r="W15">
        <v>0.07539999999999999</v>
      </c>
      <c r="X15" s="14" t="str">
        <f>IFERROR(INDEX('코드표'!$B$2:$B$500,MATCH(TRIM(I15),'코드표'!$A$2:$A$500,0)),"미분류")</f>
        <v>LC_USANCE</v>
      </c>
      <c r="Y15" s="14">
        <f>IFERROR(IF(--L15&gt;0,1,0),"")</f>
        <v>0</v>
      </c>
    </row>
    <row r="16" spans="1:25">
      <c r="A16" t="s">
        <v>194</v>
      </c>
      <c r="B16" t="s">
        <v>195</v>
      </c>
      <c r="C16" t="s">
        <v>196</v>
      </c>
      <c r="D16" t="s">
        <v>197</v>
      </c>
      <c r="E16" t="s">
        <v>101</v>
      </c>
      <c r="F16" t="s">
        <v>102</v>
      </c>
      <c r="G16" t="s">
        <v>89</v>
      </c>
      <c r="H16" t="s">
        <v>90</v>
      </c>
      <c r="I16" t="s">
        <v>113</v>
      </c>
      <c r="J16">
        <v>7680</v>
      </c>
      <c r="K16" t="s">
        <v>105</v>
      </c>
      <c r="L16">
        <v>0</v>
      </c>
      <c r="M16">
        <v>0</v>
      </c>
      <c r="N16">
        <v>74</v>
      </c>
      <c r="O16">
        <v>2</v>
      </c>
      <c r="P16" t="s">
        <v>94</v>
      </c>
      <c r="Q16" t="s">
        <v>198</v>
      </c>
      <c r="R16" t="s">
        <v>199</v>
      </c>
      <c r="S16">
        <v>16500000</v>
      </c>
      <c r="T16">
        <v>1.4218</v>
      </c>
      <c r="U16">
        <v>1.0032</v>
      </c>
      <c r="V16">
        <v>48.73</v>
      </c>
      <c r="W16">
        <v>0.0342</v>
      </c>
      <c r="X16" s="14" t="str">
        <f>IFERROR(INDEX('코드표'!$B$2:$B$500,MATCH(TRIM(I16),'코드표'!$A$2:$A$500,0)),"미분류")</f>
        <v>DA</v>
      </c>
      <c r="Y16" s="14">
        <f>IFERROR(IF(--L16&gt;0,1,0),"")</f>
        <v>0</v>
      </c>
    </row>
    <row r="17" spans="1:25">
      <c r="A17" t="s">
        <v>200</v>
      </c>
      <c r="B17" t="s">
        <v>201</v>
      </c>
      <c r="C17" t="s">
        <v>170</v>
      </c>
      <c r="D17" t="s">
        <v>171</v>
      </c>
      <c r="E17" t="s">
        <v>112</v>
      </c>
      <c r="F17" t="s">
        <v>102</v>
      </c>
      <c r="G17" t="s">
        <v>89</v>
      </c>
      <c r="H17" t="s">
        <v>90</v>
      </c>
      <c r="I17" t="s">
        <v>202</v>
      </c>
      <c r="J17">
        <v>0</v>
      </c>
      <c r="K17" t="s">
        <v>105</v>
      </c>
      <c r="L17">
        <v>0</v>
      </c>
      <c r="M17">
        <v>0</v>
      </c>
      <c r="O17">
        <v>3</v>
      </c>
      <c r="P17" t="s">
        <v>94</v>
      </c>
      <c r="Q17" t="s">
        <v>203</v>
      </c>
      <c r="R17" t="s">
        <v>140</v>
      </c>
      <c r="X17" s="14" t="str">
        <f>IFERROR(INDEX('코드표'!$B$2:$B$500,MATCH(TRIM(I17),'코드표'!$A$2:$A$500,0)),"미분류")</f>
        <v>미분류</v>
      </c>
      <c r="Y17" s="14">
        <f>IFERROR(IF(--L17&gt;0,1,0),"")</f>
        <v>0</v>
      </c>
    </row>
    <row r="18" spans="1:25">
      <c r="A18" t="s">
        <v>204</v>
      </c>
      <c r="B18" t="s">
        <v>205</v>
      </c>
      <c r="C18" t="s">
        <v>118</v>
      </c>
      <c r="D18" t="s">
        <v>119</v>
      </c>
      <c r="E18" t="s">
        <v>120</v>
      </c>
      <c r="F18" t="s">
        <v>128</v>
      </c>
      <c r="G18" t="s">
        <v>89</v>
      </c>
      <c r="H18" t="s">
        <v>90</v>
      </c>
      <c r="I18" t="s">
        <v>206</v>
      </c>
      <c r="J18">
        <v>0</v>
      </c>
      <c r="K18" t="s">
        <v>105</v>
      </c>
      <c r="L18">
        <v>0</v>
      </c>
      <c r="M18">
        <v>0</v>
      </c>
      <c r="N18">
        <v>70</v>
      </c>
      <c r="O18">
        <v>6</v>
      </c>
      <c r="P18" t="s">
        <v>94</v>
      </c>
      <c r="Q18" t="s">
        <v>207</v>
      </c>
      <c r="R18" t="s">
        <v>208</v>
      </c>
      <c r="S18">
        <v>5495000</v>
      </c>
      <c r="T18">
        <v>1.1668</v>
      </c>
      <c r="U18">
        <v>0.8532999999999999</v>
      </c>
      <c r="V18">
        <v>66.16</v>
      </c>
      <c r="X18" s="14" t="str">
        <f>IFERROR(INDEX('코드표'!$B$2:$B$500,MATCH(TRIM(I18),'코드표'!$A$2:$A$500,0)),"미분류")</f>
        <v>OA</v>
      </c>
      <c r="Y18" s="14">
        <f>IFERROR(IF(--L18&gt;0,1,0),"")</f>
        <v>0</v>
      </c>
    </row>
    <row r="19" spans="1:25">
      <c r="A19" t="s">
        <v>209</v>
      </c>
      <c r="B19" t="s">
        <v>210</v>
      </c>
      <c r="C19" t="s">
        <v>85</v>
      </c>
      <c r="D19" t="s">
        <v>86</v>
      </c>
      <c r="E19" t="s">
        <v>87</v>
      </c>
      <c r="F19" t="s">
        <v>102</v>
      </c>
      <c r="G19" t="s">
        <v>89</v>
      </c>
      <c r="H19" t="s">
        <v>90</v>
      </c>
      <c r="I19" t="s">
        <v>138</v>
      </c>
      <c r="J19">
        <v>2220</v>
      </c>
      <c r="K19" t="s">
        <v>92</v>
      </c>
      <c r="L19">
        <v>0</v>
      </c>
      <c r="M19">
        <v>0</v>
      </c>
      <c r="N19">
        <v>80</v>
      </c>
      <c r="O19" t="s">
        <v>93</v>
      </c>
      <c r="P19" t="s">
        <v>131</v>
      </c>
      <c r="Q19" t="s">
        <v>211</v>
      </c>
      <c r="R19" t="s">
        <v>212</v>
      </c>
      <c r="S19">
        <v>31866000</v>
      </c>
      <c r="T19">
        <v>1.5314</v>
      </c>
      <c r="U19">
        <v>1.8108</v>
      </c>
      <c r="V19">
        <v>69.84999999999999</v>
      </c>
      <c r="W19">
        <v>-0.0199</v>
      </c>
      <c r="X19" s="14" t="str">
        <f>IFERROR(INDEX('코드표'!$B$2:$B$500,MATCH(TRIM(I19),'코드표'!$A$2:$A$500,0)),"미분류")</f>
        <v>OA</v>
      </c>
      <c r="Y19" s="14">
        <f>IFERROR(IF(--L19&gt;0,1,0),"")</f>
        <v>0</v>
      </c>
    </row>
    <row r="20" spans="1:25">
      <c r="A20" t="s">
        <v>213</v>
      </c>
      <c r="B20" t="s">
        <v>214</v>
      </c>
      <c r="C20" t="s">
        <v>188</v>
      </c>
      <c r="D20" t="s">
        <v>189</v>
      </c>
      <c r="E20" t="s">
        <v>190</v>
      </c>
      <c r="F20" t="s">
        <v>102</v>
      </c>
      <c r="G20" t="s">
        <v>89</v>
      </c>
      <c r="H20" t="s">
        <v>90</v>
      </c>
      <c r="I20" t="s">
        <v>215</v>
      </c>
      <c r="J20">
        <v>0</v>
      </c>
      <c r="K20" t="s">
        <v>105</v>
      </c>
      <c r="L20">
        <v>0</v>
      </c>
      <c r="M20">
        <v>0</v>
      </c>
      <c r="N20">
        <v>74</v>
      </c>
      <c r="O20" t="s">
        <v>93</v>
      </c>
      <c r="P20" t="s">
        <v>131</v>
      </c>
      <c r="Q20" t="s">
        <v>216</v>
      </c>
      <c r="R20" t="s">
        <v>217</v>
      </c>
      <c r="S20">
        <v>13268000</v>
      </c>
      <c r="T20">
        <v>1.8875</v>
      </c>
      <c r="U20">
        <v>1.2413</v>
      </c>
      <c r="W20">
        <v>0.1246</v>
      </c>
      <c r="X20" s="14" t="str">
        <f>IFERROR(INDEX('코드표'!$B$2:$B$500,MATCH(TRIM(I20),'코드표'!$A$2:$A$500,0)),"미분류")</f>
        <v>DA</v>
      </c>
      <c r="Y20" s="14">
        <f>IFERROR(IF(--L20&gt;0,1,0),"")</f>
        <v>0</v>
      </c>
    </row>
    <row r="21" spans="1:25">
      <c r="A21" t="s">
        <v>218</v>
      </c>
      <c r="B21" t="s">
        <v>219</v>
      </c>
      <c r="C21" t="s">
        <v>220</v>
      </c>
      <c r="D21" t="s">
        <v>221</v>
      </c>
      <c r="E21" t="s">
        <v>120</v>
      </c>
      <c r="F21" t="s">
        <v>102</v>
      </c>
      <c r="G21" t="s">
        <v>89</v>
      </c>
      <c r="H21" t="s">
        <v>90</v>
      </c>
      <c r="I21" t="s">
        <v>222</v>
      </c>
      <c r="J21">
        <v>0</v>
      </c>
      <c r="K21" t="s">
        <v>105</v>
      </c>
      <c r="L21">
        <v>0</v>
      </c>
      <c r="M21">
        <v>0</v>
      </c>
      <c r="O21">
        <v>2</v>
      </c>
      <c r="P21" t="s">
        <v>131</v>
      </c>
      <c r="Q21" t="s">
        <v>223</v>
      </c>
      <c r="R21" t="s">
        <v>224</v>
      </c>
      <c r="S21">
        <v>16153000</v>
      </c>
      <c r="T21">
        <v>1.1525</v>
      </c>
      <c r="U21">
        <v>5.1695</v>
      </c>
      <c r="V21">
        <v>106.72</v>
      </c>
      <c r="W21">
        <v>-0.06320000000000001</v>
      </c>
      <c r="X21" s="14" t="str">
        <f>IFERROR(INDEX('코드표'!$B$2:$B$500,MATCH(TRIM(I21),'코드표'!$A$2:$A$500,0)),"미분류")</f>
        <v>TT_SPLIT_30_70</v>
      </c>
      <c r="Y21" s="14">
        <f>IFERROR(IF(--L21&gt;0,1,0),"")</f>
        <v>0</v>
      </c>
    </row>
    <row r="22" spans="1:25">
      <c r="A22" t="s">
        <v>225</v>
      </c>
      <c r="B22" t="s">
        <v>226</v>
      </c>
      <c r="C22" t="s">
        <v>99</v>
      </c>
      <c r="D22" t="s">
        <v>100</v>
      </c>
      <c r="E22" t="s">
        <v>101</v>
      </c>
      <c r="F22" t="s">
        <v>88</v>
      </c>
      <c r="G22" t="s">
        <v>89</v>
      </c>
      <c r="H22" t="s">
        <v>90</v>
      </c>
      <c r="I22" t="s">
        <v>227</v>
      </c>
      <c r="J22">
        <v>538300</v>
      </c>
      <c r="K22" t="s">
        <v>156</v>
      </c>
      <c r="L22">
        <v>0</v>
      </c>
      <c r="M22">
        <v>0</v>
      </c>
      <c r="N22">
        <v>83</v>
      </c>
      <c r="O22">
        <v>2</v>
      </c>
      <c r="P22" t="s">
        <v>94</v>
      </c>
      <c r="Q22" t="s">
        <v>228</v>
      </c>
      <c r="R22" t="s">
        <v>229</v>
      </c>
      <c r="S22">
        <v>49384000</v>
      </c>
      <c r="T22">
        <v>1.2798</v>
      </c>
      <c r="U22">
        <v>0.8295</v>
      </c>
      <c r="W22">
        <v>0.0432</v>
      </c>
      <c r="X22" s="14" t="str">
        <f>IFERROR(INDEX('코드표'!$B$2:$B$500,MATCH(TRIM(I22),'코드표'!$A$2:$A$500,0)),"미분류")</f>
        <v>OA</v>
      </c>
      <c r="Y22" s="14">
        <f>IFERROR(IF(--L22&gt;0,1,0),"")</f>
        <v>0</v>
      </c>
    </row>
    <row r="23" spans="1:25">
      <c r="A23" t="s">
        <v>230</v>
      </c>
      <c r="B23" t="s">
        <v>231</v>
      </c>
      <c r="C23" t="s">
        <v>110</v>
      </c>
      <c r="D23" t="s">
        <v>111</v>
      </c>
      <c r="E23" t="s">
        <v>112</v>
      </c>
      <c r="G23" t="s">
        <v>89</v>
      </c>
      <c r="H23" t="s">
        <v>90</v>
      </c>
      <c r="I23" t="s">
        <v>232</v>
      </c>
      <c r="J23" t="s">
        <v>233</v>
      </c>
      <c r="K23" t="s">
        <v>105</v>
      </c>
      <c r="L23">
        <v>3</v>
      </c>
      <c r="M23">
        <v>4330</v>
      </c>
      <c r="N23">
        <v>79</v>
      </c>
      <c r="O23">
        <v>3</v>
      </c>
      <c r="P23" t="s">
        <v>131</v>
      </c>
      <c r="Q23" t="s">
        <v>234</v>
      </c>
      <c r="R23" t="s">
        <v>235</v>
      </c>
      <c r="S23">
        <v>169300000</v>
      </c>
      <c r="T23">
        <v>1.3591</v>
      </c>
      <c r="U23">
        <v>1.252</v>
      </c>
      <c r="V23">
        <v>35.86</v>
      </c>
      <c r="W23">
        <v>0.0868</v>
      </c>
      <c r="X23" s="14" t="str">
        <f>IFERROR(INDEX('코드표'!$B$2:$B$500,MATCH(TRIM(I23),'코드표'!$A$2:$A$500,0)),"미분류")</f>
        <v>미분류</v>
      </c>
      <c r="Y23" s="14">
        <f>IFERROR(IF(--L23&gt;0,1,0),"")</f>
        <v>1</v>
      </c>
    </row>
    <row r="24" spans="1:25">
      <c r="A24" t="s">
        <v>236</v>
      </c>
      <c r="B24" t="s">
        <v>237</v>
      </c>
      <c r="C24" t="s">
        <v>238</v>
      </c>
      <c r="D24" t="s">
        <v>111</v>
      </c>
      <c r="E24" t="s">
        <v>112</v>
      </c>
      <c r="F24" t="s">
        <v>128</v>
      </c>
      <c r="G24" t="s">
        <v>89</v>
      </c>
      <c r="H24" t="s">
        <v>90</v>
      </c>
      <c r="I24" t="s">
        <v>215</v>
      </c>
      <c r="J24">
        <v>22410</v>
      </c>
      <c r="K24" t="s">
        <v>105</v>
      </c>
      <c r="L24">
        <v>0</v>
      </c>
      <c r="M24">
        <v>0</v>
      </c>
      <c r="N24">
        <v>78</v>
      </c>
      <c r="O24">
        <v>3</v>
      </c>
      <c r="P24" t="s">
        <v>131</v>
      </c>
      <c r="Q24" t="s">
        <v>239</v>
      </c>
      <c r="R24" t="s">
        <v>140</v>
      </c>
      <c r="X24" s="14" t="str">
        <f>IFERROR(INDEX('코드표'!$B$2:$B$500,MATCH(TRIM(I24),'코드표'!$A$2:$A$500,0)),"미분류")</f>
        <v>DA</v>
      </c>
      <c r="Y24" s="14">
        <f>IFERROR(IF(--L24&gt;0,1,0),"")</f>
        <v>0</v>
      </c>
    </row>
    <row r="25" spans="1:25">
      <c r="A25" t="s">
        <v>240</v>
      </c>
      <c r="B25" t="s">
        <v>241</v>
      </c>
      <c r="C25" t="s">
        <v>188</v>
      </c>
      <c r="D25" t="s">
        <v>189</v>
      </c>
      <c r="E25" t="s">
        <v>190</v>
      </c>
      <c r="F25" t="s">
        <v>164</v>
      </c>
      <c r="G25" t="s">
        <v>89</v>
      </c>
      <c r="H25" t="s">
        <v>90</v>
      </c>
      <c r="I25" t="s">
        <v>138</v>
      </c>
      <c r="J25">
        <v>0</v>
      </c>
      <c r="K25" t="s">
        <v>105</v>
      </c>
      <c r="L25">
        <v>0</v>
      </c>
      <c r="M25">
        <v>0</v>
      </c>
      <c r="N25">
        <v>77</v>
      </c>
      <c r="O25" t="s">
        <v>93</v>
      </c>
      <c r="P25" t="s">
        <v>131</v>
      </c>
      <c r="Q25" t="s">
        <v>242</v>
      </c>
      <c r="R25" t="s">
        <v>243</v>
      </c>
      <c r="S25">
        <v>10854000</v>
      </c>
      <c r="T25">
        <v>1.1433</v>
      </c>
      <c r="U25">
        <v>2.599</v>
      </c>
      <c r="V25">
        <v>80.51000000000001</v>
      </c>
      <c r="W25">
        <v>0.0866</v>
      </c>
      <c r="X25" s="14" t="str">
        <f>IFERROR(INDEX('코드표'!$B$2:$B$500,MATCH(TRIM(I25),'코드표'!$A$2:$A$500,0)),"미분류")</f>
        <v>OA</v>
      </c>
      <c r="Y25" s="14">
        <f>IFERROR(IF(--L25&gt;0,1,0),"")</f>
        <v>0</v>
      </c>
    </row>
    <row r="26" spans="1:25">
      <c r="A26" t="s">
        <v>244</v>
      </c>
      <c r="B26" t="s">
        <v>245</v>
      </c>
      <c r="C26" t="s">
        <v>148</v>
      </c>
      <c r="D26" t="s">
        <v>149</v>
      </c>
      <c r="E26" t="s">
        <v>87</v>
      </c>
      <c r="F26" t="s">
        <v>88</v>
      </c>
      <c r="G26" t="s">
        <v>89</v>
      </c>
      <c r="H26" t="s">
        <v>90</v>
      </c>
      <c r="I26" t="s">
        <v>246</v>
      </c>
      <c r="J26">
        <v>1370</v>
      </c>
      <c r="K26" t="s">
        <v>92</v>
      </c>
      <c r="L26">
        <v>0</v>
      </c>
      <c r="M26">
        <v>0</v>
      </c>
      <c r="N26">
        <v>79</v>
      </c>
      <c r="O26" t="s">
        <v>93</v>
      </c>
      <c r="P26" t="s">
        <v>131</v>
      </c>
      <c r="Q26" t="s">
        <v>247</v>
      </c>
      <c r="R26" t="s">
        <v>248</v>
      </c>
      <c r="S26">
        <v>5387000</v>
      </c>
      <c r="T26">
        <v>2.1219</v>
      </c>
      <c r="U26">
        <v>0.7072000000000001</v>
      </c>
      <c r="V26">
        <v>59.08</v>
      </c>
      <c r="X26" s="14" t="str">
        <f>IFERROR(INDEX('코드표'!$B$2:$B$500,MATCH(TRIM(I26),'코드표'!$A$2:$A$500,0)),"미분류")</f>
        <v>OA</v>
      </c>
      <c r="Y26" s="14">
        <f>IFERROR(IF(--L26&gt;0,1,0),"")</f>
        <v>0</v>
      </c>
    </row>
    <row r="27" spans="1:25">
      <c r="A27" t="s">
        <v>249</v>
      </c>
      <c r="B27" t="s">
        <v>250</v>
      </c>
      <c r="C27" t="s">
        <v>251</v>
      </c>
      <c r="D27" t="s">
        <v>252</v>
      </c>
      <c r="E27" t="s">
        <v>112</v>
      </c>
      <c r="F27" t="s">
        <v>88</v>
      </c>
      <c r="G27" t="s">
        <v>89</v>
      </c>
      <c r="H27" t="s">
        <v>90</v>
      </c>
      <c r="I27" t="s">
        <v>253</v>
      </c>
      <c r="J27">
        <v>4860</v>
      </c>
      <c r="K27" t="s">
        <v>105</v>
      </c>
      <c r="L27">
        <v>0</v>
      </c>
      <c r="M27">
        <v>0</v>
      </c>
      <c r="N27">
        <v>82</v>
      </c>
      <c r="O27">
        <v>3</v>
      </c>
      <c r="P27" t="s">
        <v>131</v>
      </c>
      <c r="Q27" t="s">
        <v>254</v>
      </c>
      <c r="R27" t="s">
        <v>140</v>
      </c>
      <c r="X27" s="14" t="str">
        <f>IFERROR(INDEX('코드표'!$B$2:$B$500,MATCH(TRIM(I27),'코드표'!$A$2:$A$500,0)),"미분류")</f>
        <v>OA</v>
      </c>
      <c r="Y27" s="14">
        <f>IFERROR(IF(--L27&gt;0,1,0),"")</f>
        <v>0</v>
      </c>
    </row>
    <row r="28" spans="1:25">
      <c r="A28" t="s">
        <v>255</v>
      </c>
      <c r="B28" t="s">
        <v>256</v>
      </c>
      <c r="C28" t="s">
        <v>257</v>
      </c>
      <c r="D28" t="s">
        <v>127</v>
      </c>
      <c r="E28" t="s">
        <v>112</v>
      </c>
      <c r="F28" t="s">
        <v>172</v>
      </c>
      <c r="G28" t="s">
        <v>89</v>
      </c>
      <c r="H28" t="s">
        <v>90</v>
      </c>
      <c r="I28" t="s">
        <v>258</v>
      </c>
      <c r="J28">
        <v>0</v>
      </c>
      <c r="K28" t="s">
        <v>130</v>
      </c>
      <c r="L28">
        <v>0</v>
      </c>
      <c r="M28">
        <v>0</v>
      </c>
      <c r="O28">
        <v>3</v>
      </c>
      <c r="P28" t="s">
        <v>94</v>
      </c>
      <c r="Q28" t="s">
        <v>259</v>
      </c>
      <c r="R28" t="s">
        <v>140</v>
      </c>
      <c r="X28" s="14" t="str">
        <f>IFERROR(INDEX('코드표'!$B$2:$B$500,MATCH(TRIM(I28),'코드표'!$A$2:$A$500,0)),"미분류")</f>
        <v>TT_ADV</v>
      </c>
      <c r="Y28" s="14">
        <f>IFERROR(IF(--L28&gt;0,1,0),"")</f>
        <v>0</v>
      </c>
    </row>
    <row r="29" spans="1:25">
      <c r="A29" t="s">
        <v>260</v>
      </c>
      <c r="B29" t="s">
        <v>261</v>
      </c>
      <c r="C29" t="s">
        <v>262</v>
      </c>
      <c r="D29" t="s">
        <v>263</v>
      </c>
      <c r="E29" t="s">
        <v>101</v>
      </c>
      <c r="F29" t="s">
        <v>128</v>
      </c>
      <c r="G29" t="s">
        <v>89</v>
      </c>
      <c r="H29" t="s">
        <v>90</v>
      </c>
      <c r="I29" t="s">
        <v>264</v>
      </c>
      <c r="J29">
        <v>35491000</v>
      </c>
      <c r="K29" t="s">
        <v>265</v>
      </c>
      <c r="L29">
        <v>0</v>
      </c>
      <c r="M29">
        <v>0</v>
      </c>
      <c r="N29">
        <v>83</v>
      </c>
      <c r="O29" t="s">
        <v>93</v>
      </c>
      <c r="P29" t="s">
        <v>131</v>
      </c>
      <c r="Q29" t="s">
        <v>266</v>
      </c>
      <c r="R29" t="s">
        <v>267</v>
      </c>
      <c r="S29">
        <v>160688000</v>
      </c>
      <c r="T29">
        <v>1.738</v>
      </c>
      <c r="U29">
        <v>0.5585</v>
      </c>
      <c r="V29">
        <v>38.16</v>
      </c>
      <c r="W29">
        <v>0.1375</v>
      </c>
      <c r="X29" s="14" t="str">
        <f>IFERROR(INDEX('코드표'!$B$2:$B$500,MATCH(TRIM(I29),'코드표'!$A$2:$A$500,0)),"미분류")</f>
        <v>미분류</v>
      </c>
      <c r="Y29" s="14">
        <f>IFERROR(IF(--L29&gt;0,1,0),"")</f>
        <v>0</v>
      </c>
    </row>
    <row r="30" spans="1:25">
      <c r="A30" t="s">
        <v>268</v>
      </c>
      <c r="B30" t="s">
        <v>269</v>
      </c>
      <c r="C30" t="s">
        <v>99</v>
      </c>
      <c r="D30" t="s">
        <v>100</v>
      </c>
      <c r="E30" t="s">
        <v>101</v>
      </c>
      <c r="F30" t="s">
        <v>88</v>
      </c>
      <c r="G30" t="s">
        <v>89</v>
      </c>
      <c r="H30" t="s">
        <v>90</v>
      </c>
      <c r="I30" t="s">
        <v>227</v>
      </c>
      <c r="J30">
        <v>88940</v>
      </c>
      <c r="K30" t="s">
        <v>105</v>
      </c>
      <c r="L30">
        <v>0</v>
      </c>
      <c r="M30">
        <v>0</v>
      </c>
      <c r="N30">
        <v>59</v>
      </c>
      <c r="O30">
        <v>2</v>
      </c>
      <c r="P30" t="s">
        <v>131</v>
      </c>
      <c r="Q30" t="s">
        <v>270</v>
      </c>
      <c r="R30" t="s">
        <v>271</v>
      </c>
      <c r="S30">
        <v>437297000</v>
      </c>
      <c r="T30">
        <v>1.2413</v>
      </c>
      <c r="U30">
        <v>2.1817</v>
      </c>
      <c r="V30">
        <v>86.79000000000001</v>
      </c>
      <c r="W30">
        <v>0.1023</v>
      </c>
      <c r="X30" s="14" t="str">
        <f>IFERROR(INDEX('코드표'!$B$2:$B$500,MATCH(TRIM(I30),'코드표'!$A$2:$A$500,0)),"미분류")</f>
        <v>OA</v>
      </c>
      <c r="Y30" s="14">
        <f>IFERROR(IF(--L30&gt;0,1,0),"")</f>
        <v>0</v>
      </c>
    </row>
    <row r="31" spans="1:25">
      <c r="A31" t="s">
        <v>272</v>
      </c>
      <c r="B31" t="s">
        <v>273</v>
      </c>
      <c r="C31" t="s">
        <v>274</v>
      </c>
      <c r="D31" t="s">
        <v>275</v>
      </c>
      <c r="E31" t="s">
        <v>163</v>
      </c>
      <c r="F31" t="s">
        <v>88</v>
      </c>
      <c r="G31" t="s">
        <v>89</v>
      </c>
      <c r="H31" t="s">
        <v>90</v>
      </c>
      <c r="I31" t="s">
        <v>276</v>
      </c>
      <c r="J31">
        <v>0</v>
      </c>
      <c r="K31" t="s">
        <v>130</v>
      </c>
      <c r="L31">
        <v>0</v>
      </c>
      <c r="M31">
        <v>0</v>
      </c>
      <c r="N31">
        <v>80</v>
      </c>
      <c r="O31">
        <v>5</v>
      </c>
      <c r="P31" t="s">
        <v>94</v>
      </c>
      <c r="Q31" t="s">
        <v>277</v>
      </c>
      <c r="R31" t="s">
        <v>278</v>
      </c>
      <c r="S31">
        <v>45005000</v>
      </c>
      <c r="T31">
        <v>0.728</v>
      </c>
      <c r="V31">
        <v>104.29</v>
      </c>
      <c r="W31">
        <v>-0.0825</v>
      </c>
      <c r="X31" s="14" t="str">
        <f>IFERROR(INDEX('코드표'!$B$2:$B$500,MATCH(TRIM(I31),'코드표'!$A$2:$A$500,0)),"미분류")</f>
        <v>OA</v>
      </c>
      <c r="Y31" s="14">
        <f>IFERROR(IF(--L31&gt;0,1,0),"")</f>
        <v>0</v>
      </c>
    </row>
    <row r="32" spans="1:25">
      <c r="A32" t="s">
        <v>279</v>
      </c>
      <c r="B32" t="s">
        <v>280</v>
      </c>
      <c r="C32" t="s">
        <v>281</v>
      </c>
      <c r="D32" t="s">
        <v>282</v>
      </c>
      <c r="E32" t="s">
        <v>190</v>
      </c>
      <c r="F32" t="s">
        <v>102</v>
      </c>
      <c r="G32" t="s">
        <v>89</v>
      </c>
      <c r="H32" t="s">
        <v>90</v>
      </c>
      <c r="I32" t="s">
        <v>283</v>
      </c>
      <c r="J32">
        <v>70120</v>
      </c>
      <c r="K32" t="s">
        <v>105</v>
      </c>
      <c r="L32">
        <v>36</v>
      </c>
      <c r="M32">
        <v>19200</v>
      </c>
      <c r="N32">
        <v>77</v>
      </c>
      <c r="O32">
        <v>3</v>
      </c>
      <c r="P32" t="s">
        <v>131</v>
      </c>
      <c r="Q32" t="s">
        <v>284</v>
      </c>
      <c r="R32" t="s">
        <v>285</v>
      </c>
      <c r="S32">
        <v>243199000</v>
      </c>
      <c r="V32">
        <v>60.53</v>
      </c>
      <c r="W32">
        <v>0.0755</v>
      </c>
      <c r="X32" s="14" t="str">
        <f>IFERROR(INDEX('코드표'!$B$2:$B$500,MATCH(TRIM(I32),'코드표'!$A$2:$A$500,0)),"미분류")</f>
        <v>OA</v>
      </c>
      <c r="Y32" s="14">
        <f>IFERROR(IF(--L32&gt;0,1,0),"")</f>
        <v>1</v>
      </c>
    </row>
    <row r="33" spans="1:25">
      <c r="A33" t="s">
        <v>286</v>
      </c>
      <c r="B33" t="s">
        <v>287</v>
      </c>
      <c r="C33" t="s">
        <v>118</v>
      </c>
      <c r="D33" t="s">
        <v>119</v>
      </c>
      <c r="E33" t="s">
        <v>120</v>
      </c>
      <c r="F33" t="s">
        <v>288</v>
      </c>
      <c r="G33" t="s">
        <v>289</v>
      </c>
      <c r="H33" t="s">
        <v>290</v>
      </c>
      <c r="I33" t="s">
        <v>291</v>
      </c>
      <c r="J33">
        <v>0</v>
      </c>
      <c r="K33" t="s">
        <v>183</v>
      </c>
      <c r="L33">
        <v>0</v>
      </c>
      <c r="M33">
        <v>0</v>
      </c>
      <c r="N33">
        <v>80</v>
      </c>
      <c r="O33">
        <v>6</v>
      </c>
      <c r="P33" t="s">
        <v>131</v>
      </c>
      <c r="Q33" t="s">
        <v>292</v>
      </c>
      <c r="R33" t="s">
        <v>293</v>
      </c>
      <c r="S33">
        <v>138829000</v>
      </c>
      <c r="U33">
        <v>1.899</v>
      </c>
      <c r="X33" s="14" t="str">
        <f>IFERROR(INDEX('코드표'!$B$2:$B$500,MATCH(TRIM(I33),'코드표'!$A$2:$A$500,0)),"미분류")</f>
        <v>OA</v>
      </c>
      <c r="Y33" s="14">
        <f>IFERROR(IF(--L33&gt;0,1,0),"")</f>
        <v>0</v>
      </c>
    </row>
    <row r="34" spans="1:25">
      <c r="A34" t="s">
        <v>294</v>
      </c>
      <c r="B34" t="s">
        <v>295</v>
      </c>
      <c r="C34" t="s">
        <v>126</v>
      </c>
      <c r="D34" t="s">
        <v>127</v>
      </c>
      <c r="E34" t="s">
        <v>112</v>
      </c>
      <c r="F34" t="s">
        <v>88</v>
      </c>
      <c r="G34" t="s">
        <v>89</v>
      </c>
      <c r="H34" t="s">
        <v>90</v>
      </c>
      <c r="I34" t="s">
        <v>121</v>
      </c>
      <c r="J34">
        <v>0</v>
      </c>
      <c r="K34" t="s">
        <v>105</v>
      </c>
      <c r="L34">
        <v>0</v>
      </c>
      <c r="M34">
        <v>0</v>
      </c>
      <c r="O34">
        <v>3</v>
      </c>
      <c r="P34" t="s">
        <v>94</v>
      </c>
      <c r="Q34" t="s">
        <v>296</v>
      </c>
      <c r="R34" t="s">
        <v>297</v>
      </c>
      <c r="S34">
        <v>21381000</v>
      </c>
      <c r="T34">
        <v>2.1223</v>
      </c>
      <c r="X34" s="14" t="str">
        <f>IFERROR(INDEX('코드표'!$B$2:$B$500,MATCH(TRIM(I34),'코드표'!$A$2:$A$500,0)),"미분류")</f>
        <v>LC_SIGHT</v>
      </c>
      <c r="Y34" s="14">
        <f>IFERROR(IF(--L34&gt;0,1,0),"")</f>
        <v>0</v>
      </c>
    </row>
    <row r="35" spans="1:25">
      <c r="A35" t="s">
        <v>298</v>
      </c>
      <c r="B35" t="s">
        <v>299</v>
      </c>
      <c r="C35" t="s">
        <v>148</v>
      </c>
      <c r="D35" t="s">
        <v>149</v>
      </c>
      <c r="E35" t="s">
        <v>87</v>
      </c>
      <c r="F35" t="s">
        <v>288</v>
      </c>
      <c r="G35" t="s">
        <v>289</v>
      </c>
      <c r="H35" t="s">
        <v>300</v>
      </c>
      <c r="I35" t="s">
        <v>291</v>
      </c>
      <c r="J35">
        <v>10080</v>
      </c>
      <c r="K35" t="s">
        <v>92</v>
      </c>
      <c r="L35">
        <v>0</v>
      </c>
      <c r="M35">
        <v>0</v>
      </c>
      <c r="N35">
        <v>77</v>
      </c>
      <c r="O35" t="s">
        <v>93</v>
      </c>
      <c r="P35" t="s">
        <v>94</v>
      </c>
      <c r="Q35" t="s">
        <v>301</v>
      </c>
      <c r="R35" t="s">
        <v>302</v>
      </c>
      <c r="S35">
        <v>359145000</v>
      </c>
      <c r="T35">
        <v>2.1808</v>
      </c>
      <c r="U35">
        <v>0.4081</v>
      </c>
      <c r="V35">
        <v>43.36</v>
      </c>
      <c r="W35">
        <v>0.1184</v>
      </c>
      <c r="X35" s="14" t="str">
        <f>IFERROR(INDEX('코드표'!$B$2:$B$500,MATCH(TRIM(I35),'코드표'!$A$2:$A$500,0)),"미분류")</f>
        <v>OA</v>
      </c>
      <c r="Y35" s="14">
        <f>IFERROR(IF(--L35&gt;0,1,0),"")</f>
        <v>0</v>
      </c>
    </row>
    <row r="36" spans="1:25">
      <c r="A36" t="s">
        <v>303</v>
      </c>
      <c r="B36" t="s">
        <v>304</v>
      </c>
      <c r="C36" t="s">
        <v>196</v>
      </c>
      <c r="D36" t="s">
        <v>197</v>
      </c>
      <c r="E36" t="s">
        <v>101</v>
      </c>
      <c r="F36" t="s">
        <v>128</v>
      </c>
      <c r="G36" t="s">
        <v>89</v>
      </c>
      <c r="H36" t="s">
        <v>90</v>
      </c>
      <c r="I36" t="s">
        <v>258</v>
      </c>
      <c r="J36" t="s">
        <v>305</v>
      </c>
      <c r="K36" t="s">
        <v>105</v>
      </c>
      <c r="L36">
        <v>0</v>
      </c>
      <c r="M36">
        <v>0</v>
      </c>
      <c r="O36">
        <v>2</v>
      </c>
      <c r="P36" t="s">
        <v>94</v>
      </c>
      <c r="Q36" t="s">
        <v>306</v>
      </c>
      <c r="R36" t="s">
        <v>307</v>
      </c>
      <c r="S36">
        <v>17999000</v>
      </c>
      <c r="U36">
        <v>2.1336</v>
      </c>
      <c r="V36">
        <v>74.70999999999999</v>
      </c>
      <c r="W36">
        <v>-0.0174</v>
      </c>
      <c r="X36" s="14" t="str">
        <f>IFERROR(INDEX('코드표'!$B$2:$B$500,MATCH(TRIM(I36),'코드표'!$A$2:$A$500,0)),"미분류")</f>
        <v>TT_ADV</v>
      </c>
      <c r="Y36" s="14">
        <f>IFERROR(IF(--L36&gt;0,1,0),"")</f>
        <v>0</v>
      </c>
    </row>
    <row r="37" spans="1:25">
      <c r="A37" t="s">
        <v>308</v>
      </c>
      <c r="B37" t="s">
        <v>309</v>
      </c>
      <c r="C37" t="s">
        <v>126</v>
      </c>
      <c r="D37" t="s">
        <v>127</v>
      </c>
      <c r="E37" t="s">
        <v>112</v>
      </c>
      <c r="F37" t="s">
        <v>128</v>
      </c>
      <c r="G37" t="s">
        <v>89</v>
      </c>
      <c r="H37" t="s">
        <v>90</v>
      </c>
      <c r="I37" t="s">
        <v>165</v>
      </c>
      <c r="J37">
        <v>0</v>
      </c>
      <c r="K37" t="s">
        <v>105</v>
      </c>
      <c r="L37">
        <v>0</v>
      </c>
      <c r="M37">
        <v>0</v>
      </c>
      <c r="N37">
        <v>78</v>
      </c>
      <c r="O37">
        <v>3</v>
      </c>
      <c r="P37" t="s">
        <v>94</v>
      </c>
      <c r="Q37" t="s">
        <v>310</v>
      </c>
      <c r="R37" t="s">
        <v>140</v>
      </c>
      <c r="X37" s="14" t="str">
        <f>IFERROR(INDEX('코드표'!$B$2:$B$500,MATCH(TRIM(I37),'코드표'!$A$2:$A$500,0)),"미분류")</f>
        <v>TT_ADV</v>
      </c>
      <c r="Y37" s="14">
        <f>IFERROR(IF(--L37&gt;0,1,0),"")</f>
        <v>0</v>
      </c>
    </row>
    <row r="38" spans="1:25">
      <c r="A38" t="s">
        <v>311</v>
      </c>
      <c r="B38" t="s">
        <v>312</v>
      </c>
      <c r="C38" t="s">
        <v>313</v>
      </c>
      <c r="D38" t="s">
        <v>221</v>
      </c>
      <c r="E38" t="s">
        <v>120</v>
      </c>
      <c r="F38" t="s">
        <v>102</v>
      </c>
      <c r="G38" t="s">
        <v>89</v>
      </c>
      <c r="H38" t="s">
        <v>90</v>
      </c>
      <c r="I38" t="s">
        <v>314</v>
      </c>
      <c r="K38" t="s">
        <v>130</v>
      </c>
      <c r="L38">
        <v>0</v>
      </c>
      <c r="M38">
        <v>0</v>
      </c>
      <c r="N38">
        <v>76</v>
      </c>
      <c r="O38">
        <v>2</v>
      </c>
      <c r="P38" t="s">
        <v>131</v>
      </c>
      <c r="Q38" t="s">
        <v>315</v>
      </c>
      <c r="R38" t="s">
        <v>316</v>
      </c>
      <c r="S38">
        <v>47961000</v>
      </c>
      <c r="T38">
        <v>0.7327</v>
      </c>
      <c r="U38">
        <v>0.9712</v>
      </c>
      <c r="V38">
        <v>49.46</v>
      </c>
      <c r="W38">
        <v>0.079</v>
      </c>
      <c r="X38" s="14" t="str">
        <f>IFERROR(INDEX('코드표'!$B$2:$B$500,MATCH(TRIM(I38),'코드표'!$A$2:$A$500,0)),"미분류")</f>
        <v>DA</v>
      </c>
      <c r="Y38" s="14">
        <f>IFERROR(IF(--L38&gt;0,1,0),"")</f>
        <v>0</v>
      </c>
    </row>
    <row r="39" spans="1:25">
      <c r="A39" t="s">
        <v>317</v>
      </c>
      <c r="B39" t="s">
        <v>318</v>
      </c>
      <c r="C39" t="s">
        <v>148</v>
      </c>
      <c r="D39" t="s">
        <v>149</v>
      </c>
      <c r="E39" t="s">
        <v>87</v>
      </c>
      <c r="F39" t="s">
        <v>164</v>
      </c>
      <c r="G39" t="s">
        <v>89</v>
      </c>
      <c r="H39" t="s">
        <v>90</v>
      </c>
      <c r="I39" t="s">
        <v>319</v>
      </c>
      <c r="J39">
        <v>0</v>
      </c>
      <c r="K39" t="s">
        <v>92</v>
      </c>
      <c r="L39">
        <v>0</v>
      </c>
      <c r="M39">
        <v>0</v>
      </c>
      <c r="O39" t="s">
        <v>93</v>
      </c>
      <c r="P39" t="s">
        <v>94</v>
      </c>
      <c r="Q39" t="s">
        <v>320</v>
      </c>
      <c r="R39" t="s">
        <v>321</v>
      </c>
      <c r="S39">
        <v>6552000</v>
      </c>
      <c r="T39">
        <v>1.0521</v>
      </c>
      <c r="U39">
        <v>4.6103</v>
      </c>
      <c r="V39">
        <v>98.09999999999999</v>
      </c>
      <c r="W39">
        <v>-0.0534</v>
      </c>
      <c r="X39" s="14" t="str">
        <f>IFERROR(INDEX('코드표'!$B$2:$B$500,MATCH(TRIM(I39),'코드표'!$A$2:$A$500,0)),"미분류")</f>
        <v>TT_ADV</v>
      </c>
      <c r="Y39" s="14">
        <f>IFERROR(IF(--L39&gt;0,1,0),"")</f>
        <v>0</v>
      </c>
    </row>
    <row r="40" spans="1:25">
      <c r="A40" t="s">
        <v>322</v>
      </c>
      <c r="B40" t="s">
        <v>323</v>
      </c>
      <c r="C40" t="s">
        <v>220</v>
      </c>
      <c r="D40" t="s">
        <v>221</v>
      </c>
      <c r="E40" t="s">
        <v>120</v>
      </c>
      <c r="F40" t="s">
        <v>102</v>
      </c>
      <c r="G40" t="s">
        <v>89</v>
      </c>
      <c r="H40" t="s">
        <v>90</v>
      </c>
      <c r="I40" t="s">
        <v>324</v>
      </c>
      <c r="J40">
        <v>0</v>
      </c>
      <c r="K40" t="s">
        <v>105</v>
      </c>
      <c r="L40">
        <v>0</v>
      </c>
      <c r="M40">
        <v>0</v>
      </c>
      <c r="N40">
        <v>72</v>
      </c>
      <c r="O40">
        <v>2</v>
      </c>
      <c r="P40" t="s">
        <v>94</v>
      </c>
      <c r="Q40" t="s">
        <v>325</v>
      </c>
      <c r="R40" t="s">
        <v>326</v>
      </c>
      <c r="S40">
        <v>7402000</v>
      </c>
      <c r="T40">
        <v>1.2788</v>
      </c>
      <c r="U40">
        <v>2.0451</v>
      </c>
      <c r="W40">
        <v>0.0675</v>
      </c>
      <c r="X40" s="14" t="str">
        <f>IFERROR(INDEX('코드표'!$B$2:$B$500,MATCH(TRIM(I40),'코드표'!$A$2:$A$500,0)),"미분류")</f>
        <v>TT_SPLIT_30_70</v>
      </c>
      <c r="Y40" s="14">
        <f>IFERROR(IF(--L40&gt;0,1,0),"")</f>
        <v>0</v>
      </c>
    </row>
    <row r="41" spans="1:25">
      <c r="A41" t="s">
        <v>327</v>
      </c>
      <c r="B41" t="s">
        <v>328</v>
      </c>
      <c r="C41" t="s">
        <v>170</v>
      </c>
      <c r="D41" t="s">
        <v>171</v>
      </c>
      <c r="E41" t="s">
        <v>112</v>
      </c>
      <c r="F41" t="s">
        <v>172</v>
      </c>
      <c r="G41" t="s">
        <v>89</v>
      </c>
      <c r="H41" t="s">
        <v>90</v>
      </c>
      <c r="I41" t="s">
        <v>329</v>
      </c>
      <c r="J41" t="s">
        <v>330</v>
      </c>
      <c r="K41" t="s">
        <v>105</v>
      </c>
      <c r="L41">
        <v>0</v>
      </c>
      <c r="M41">
        <v>0</v>
      </c>
      <c r="O41">
        <v>3</v>
      </c>
      <c r="P41" t="s">
        <v>94</v>
      </c>
      <c r="Q41" t="s">
        <v>331</v>
      </c>
      <c r="R41" t="s">
        <v>332</v>
      </c>
      <c r="S41">
        <v>64727000</v>
      </c>
      <c r="T41">
        <v>1.4618</v>
      </c>
      <c r="U41">
        <v>2.4389</v>
      </c>
      <c r="V41">
        <v>93.81999999999999</v>
      </c>
      <c r="X41" s="14" t="str">
        <f>IFERROR(INDEX('코드표'!$B$2:$B$500,MATCH(TRIM(I41),'코드표'!$A$2:$A$500,0)),"미분류")</f>
        <v>LC_USANCE</v>
      </c>
      <c r="Y41" s="14">
        <f>IFERROR(IF(--L41&gt;0,1,0),"")</f>
        <v>0</v>
      </c>
    </row>
    <row r="42" spans="1:25">
      <c r="A42" t="s">
        <v>333</v>
      </c>
      <c r="B42" t="s">
        <v>334</v>
      </c>
      <c r="C42" t="s">
        <v>274</v>
      </c>
      <c r="D42" t="s">
        <v>275</v>
      </c>
      <c r="E42" t="s">
        <v>163</v>
      </c>
      <c r="F42" t="s">
        <v>102</v>
      </c>
      <c r="G42" t="s">
        <v>89</v>
      </c>
      <c r="H42" t="s">
        <v>90</v>
      </c>
      <c r="I42" t="s">
        <v>335</v>
      </c>
      <c r="J42">
        <v>42560</v>
      </c>
      <c r="K42" t="s">
        <v>105</v>
      </c>
      <c r="L42">
        <v>3</v>
      </c>
      <c r="M42" t="s">
        <v>336</v>
      </c>
      <c r="N42">
        <v>78</v>
      </c>
      <c r="O42">
        <v>5</v>
      </c>
      <c r="P42" t="s">
        <v>131</v>
      </c>
      <c r="Q42" t="s">
        <v>337</v>
      </c>
      <c r="R42" t="s">
        <v>338</v>
      </c>
      <c r="S42">
        <v>48147000</v>
      </c>
      <c r="T42">
        <v>1.3482</v>
      </c>
      <c r="U42">
        <v>5.0671</v>
      </c>
      <c r="V42">
        <v>73.08</v>
      </c>
      <c r="W42">
        <v>0.0291</v>
      </c>
      <c r="X42" s="14" t="str">
        <f>IFERROR(INDEX('코드표'!$B$2:$B$500,MATCH(TRIM(I42),'코드표'!$A$2:$A$500,0)),"미분류")</f>
        <v>미분류</v>
      </c>
      <c r="Y42" s="14">
        <f>IFERROR(IF(--L42&gt;0,1,0),"")</f>
        <v>1</v>
      </c>
    </row>
    <row r="43" spans="1:25">
      <c r="A43" t="s">
        <v>339</v>
      </c>
      <c r="B43" t="s">
        <v>340</v>
      </c>
      <c r="C43" t="s">
        <v>341</v>
      </c>
      <c r="D43" t="s">
        <v>342</v>
      </c>
      <c r="E43" t="s">
        <v>190</v>
      </c>
      <c r="G43" t="s">
        <v>89</v>
      </c>
      <c r="H43" t="s">
        <v>90</v>
      </c>
      <c r="I43" t="s">
        <v>258</v>
      </c>
      <c r="J43">
        <v>0</v>
      </c>
      <c r="K43" t="s">
        <v>183</v>
      </c>
      <c r="L43">
        <v>0</v>
      </c>
      <c r="M43">
        <v>0</v>
      </c>
      <c r="O43">
        <v>4</v>
      </c>
      <c r="P43" t="s">
        <v>94</v>
      </c>
      <c r="Q43" t="s">
        <v>343</v>
      </c>
      <c r="R43" t="s">
        <v>344</v>
      </c>
      <c r="S43">
        <v>5456000</v>
      </c>
      <c r="V43">
        <v>97.54000000000001</v>
      </c>
      <c r="X43" s="14" t="str">
        <f>IFERROR(INDEX('코드표'!$B$2:$B$500,MATCH(TRIM(I43),'코드표'!$A$2:$A$500,0)),"미분류")</f>
        <v>TT_ADV</v>
      </c>
      <c r="Y43" s="14">
        <f>IFERROR(IF(--L43&gt;0,1,0),"")</f>
        <v>0</v>
      </c>
    </row>
    <row r="44" spans="1:25">
      <c r="A44" t="s">
        <v>345</v>
      </c>
      <c r="B44" t="s">
        <v>346</v>
      </c>
      <c r="C44" t="s">
        <v>99</v>
      </c>
      <c r="D44" t="s">
        <v>100</v>
      </c>
      <c r="E44" t="s">
        <v>101</v>
      </c>
      <c r="F44" t="s">
        <v>172</v>
      </c>
      <c r="G44" t="s">
        <v>89</v>
      </c>
      <c r="H44" t="s">
        <v>90</v>
      </c>
      <c r="I44" t="s">
        <v>347</v>
      </c>
      <c r="J44">
        <v>168600</v>
      </c>
      <c r="K44" t="s">
        <v>156</v>
      </c>
      <c r="L44">
        <v>0</v>
      </c>
      <c r="M44">
        <v>0</v>
      </c>
      <c r="N44">
        <v>69</v>
      </c>
      <c r="O44">
        <v>2</v>
      </c>
      <c r="P44" t="s">
        <v>131</v>
      </c>
      <c r="Q44" t="s">
        <v>348</v>
      </c>
      <c r="R44" t="s">
        <v>349</v>
      </c>
      <c r="S44">
        <v>7825000</v>
      </c>
      <c r="T44">
        <v>1.3501</v>
      </c>
      <c r="U44">
        <v>0.7503</v>
      </c>
      <c r="V44">
        <v>64.51000000000001</v>
      </c>
      <c r="W44">
        <v>0.06610000000000001</v>
      </c>
      <c r="X44" s="14" t="str">
        <f>IFERROR(INDEX('코드표'!$B$2:$B$500,MATCH(TRIM(I44),'코드표'!$A$2:$A$500,0)),"미분류")</f>
        <v>OA</v>
      </c>
      <c r="Y44" s="14">
        <f>IFERROR(IF(--L44&gt;0,1,0),"")</f>
        <v>0</v>
      </c>
    </row>
    <row r="45" spans="1:25">
      <c r="A45" t="s">
        <v>350</v>
      </c>
      <c r="B45" t="s">
        <v>351</v>
      </c>
      <c r="C45" t="s">
        <v>251</v>
      </c>
      <c r="D45" t="s">
        <v>252</v>
      </c>
      <c r="E45" t="s">
        <v>112</v>
      </c>
      <c r="F45" t="s">
        <v>102</v>
      </c>
      <c r="G45" t="s">
        <v>89</v>
      </c>
      <c r="H45" t="s">
        <v>90</v>
      </c>
      <c r="I45" t="s">
        <v>215</v>
      </c>
      <c r="J45">
        <v>13330</v>
      </c>
      <c r="K45" t="s">
        <v>105</v>
      </c>
      <c r="L45">
        <v>355</v>
      </c>
      <c r="M45" t="s">
        <v>352</v>
      </c>
      <c r="O45">
        <v>3</v>
      </c>
      <c r="P45" t="s">
        <v>94</v>
      </c>
      <c r="Q45" t="s">
        <v>353</v>
      </c>
      <c r="R45" t="s">
        <v>354</v>
      </c>
      <c r="S45">
        <v>12956000</v>
      </c>
      <c r="V45">
        <v>123.31</v>
      </c>
      <c r="W45">
        <v>0.0004</v>
      </c>
      <c r="X45" s="14" t="str">
        <f>IFERROR(INDEX('코드표'!$B$2:$B$500,MATCH(TRIM(I45),'코드표'!$A$2:$A$500,0)),"미분류")</f>
        <v>DA</v>
      </c>
      <c r="Y45" s="14">
        <f>IFERROR(IF(--L45&gt;0,1,0),"")</f>
        <v>1</v>
      </c>
    </row>
    <row r="46" spans="1:25">
      <c r="A46" t="s">
        <v>355</v>
      </c>
      <c r="B46" t="s">
        <v>356</v>
      </c>
      <c r="C46" t="s">
        <v>357</v>
      </c>
      <c r="D46" t="s">
        <v>358</v>
      </c>
      <c r="E46" t="s">
        <v>120</v>
      </c>
      <c r="F46" t="s">
        <v>164</v>
      </c>
      <c r="G46" t="s">
        <v>89</v>
      </c>
      <c r="H46" t="s">
        <v>90</v>
      </c>
      <c r="I46" t="s">
        <v>359</v>
      </c>
      <c r="J46">
        <v>0</v>
      </c>
      <c r="K46" t="s">
        <v>105</v>
      </c>
      <c r="L46">
        <v>0</v>
      </c>
      <c r="M46">
        <v>0</v>
      </c>
      <c r="N46">
        <v>75</v>
      </c>
      <c r="O46">
        <v>2</v>
      </c>
      <c r="P46" t="s">
        <v>131</v>
      </c>
      <c r="Q46" t="s">
        <v>360</v>
      </c>
      <c r="R46" t="s">
        <v>361</v>
      </c>
      <c r="S46">
        <v>14928000</v>
      </c>
      <c r="T46">
        <v>1.183</v>
      </c>
      <c r="U46">
        <v>1.1107</v>
      </c>
      <c r="V46">
        <v>59.12</v>
      </c>
      <c r="X46" s="14" t="str">
        <f>IFERROR(INDEX('코드표'!$B$2:$B$500,MATCH(TRIM(I46),'코드표'!$A$2:$A$500,0)),"미분류")</f>
        <v>OA</v>
      </c>
      <c r="Y46" s="14">
        <f>IFERROR(IF(--L46&gt;0,1,0),"")</f>
        <v>0</v>
      </c>
    </row>
    <row r="47" spans="1:25">
      <c r="A47" t="s">
        <v>362</v>
      </c>
      <c r="B47" t="s">
        <v>363</v>
      </c>
      <c r="C47" t="s">
        <v>188</v>
      </c>
      <c r="D47" t="s">
        <v>189</v>
      </c>
      <c r="E47" t="s">
        <v>190</v>
      </c>
      <c r="F47" t="s">
        <v>288</v>
      </c>
      <c r="G47" t="s">
        <v>289</v>
      </c>
      <c r="H47" t="s">
        <v>300</v>
      </c>
      <c r="I47" t="s">
        <v>291</v>
      </c>
      <c r="J47">
        <v>0</v>
      </c>
      <c r="K47" t="s">
        <v>105</v>
      </c>
      <c r="L47">
        <v>0</v>
      </c>
      <c r="M47">
        <v>0</v>
      </c>
      <c r="N47">
        <v>71</v>
      </c>
      <c r="O47" t="s">
        <v>93</v>
      </c>
      <c r="P47" t="s">
        <v>94</v>
      </c>
      <c r="Q47" t="s">
        <v>364</v>
      </c>
      <c r="R47" t="s">
        <v>365</v>
      </c>
      <c r="S47">
        <v>256707000</v>
      </c>
      <c r="T47">
        <v>1.5172</v>
      </c>
      <c r="U47">
        <v>0.3802</v>
      </c>
      <c r="V47">
        <v>37.05</v>
      </c>
      <c r="W47">
        <v>0.0954</v>
      </c>
      <c r="X47" s="14" t="str">
        <f>IFERROR(INDEX('코드표'!$B$2:$B$500,MATCH(TRIM(I47),'코드표'!$A$2:$A$500,0)),"미분류")</f>
        <v>OA</v>
      </c>
      <c r="Y47" s="14">
        <f>IFERROR(IF(--L47&gt;0,1,0),"")</f>
        <v>0</v>
      </c>
    </row>
    <row r="48" spans="1:25">
      <c r="A48" t="s">
        <v>366</v>
      </c>
      <c r="B48" t="s">
        <v>367</v>
      </c>
      <c r="C48" t="s">
        <v>281</v>
      </c>
      <c r="D48" t="s">
        <v>282</v>
      </c>
      <c r="E48" t="s">
        <v>190</v>
      </c>
      <c r="F48" t="s">
        <v>164</v>
      </c>
      <c r="G48" t="s">
        <v>89</v>
      </c>
      <c r="H48" t="s">
        <v>90</v>
      </c>
      <c r="I48" t="s">
        <v>368</v>
      </c>
      <c r="J48">
        <v>54540</v>
      </c>
      <c r="K48" t="s">
        <v>105</v>
      </c>
      <c r="L48">
        <v>48</v>
      </c>
      <c r="M48">
        <v>27300</v>
      </c>
      <c r="N48">
        <v>76</v>
      </c>
      <c r="O48">
        <v>3</v>
      </c>
      <c r="P48" t="s">
        <v>131</v>
      </c>
      <c r="Q48" t="s">
        <v>369</v>
      </c>
      <c r="R48" t="s">
        <v>140</v>
      </c>
      <c r="X48" s="14" t="str">
        <f>IFERROR(INDEX('코드표'!$B$2:$B$500,MATCH(TRIM(I48),'코드표'!$A$2:$A$500,0)),"미분류")</f>
        <v>OA</v>
      </c>
      <c r="Y48" s="14">
        <f>IFERROR(IF(--L48&gt;0,1,0),"")</f>
        <v>1</v>
      </c>
    </row>
    <row r="49" spans="1:25">
      <c r="A49" t="s">
        <v>370</v>
      </c>
      <c r="B49" t="s">
        <v>371</v>
      </c>
      <c r="C49" t="s">
        <v>99</v>
      </c>
      <c r="D49" t="s">
        <v>100</v>
      </c>
      <c r="E49" t="s">
        <v>101</v>
      </c>
      <c r="F49" t="s">
        <v>88</v>
      </c>
      <c r="G49" t="s">
        <v>89</v>
      </c>
      <c r="H49" t="s">
        <v>90</v>
      </c>
      <c r="I49" t="s">
        <v>372</v>
      </c>
      <c r="J49">
        <v>24530</v>
      </c>
      <c r="K49" t="s">
        <v>105</v>
      </c>
      <c r="L49" t="s">
        <v>373</v>
      </c>
      <c r="M49" t="s">
        <v>374</v>
      </c>
      <c r="O49">
        <v>2</v>
      </c>
      <c r="P49" t="s">
        <v>131</v>
      </c>
      <c r="Q49" t="s">
        <v>375</v>
      </c>
      <c r="R49" t="s">
        <v>376</v>
      </c>
      <c r="S49">
        <v>58284000</v>
      </c>
      <c r="T49">
        <v>0.36</v>
      </c>
      <c r="U49">
        <v>-4.2645</v>
      </c>
      <c r="V49">
        <v>86</v>
      </c>
      <c r="W49">
        <v>-0.2363</v>
      </c>
      <c r="X49" s="14" t="str">
        <f>IFERROR(INDEX('코드표'!$B$2:$B$500,MATCH(TRIM(I49),'코드표'!$A$2:$A$500,0)),"미분류")</f>
        <v>OA</v>
      </c>
      <c r="Y49" s="14">
        <f>IFERROR(IF(--L49&gt;0,1,0),"")</f>
        <v/>
      </c>
    </row>
    <row r="50" spans="1:25">
      <c r="A50" t="s">
        <v>377</v>
      </c>
      <c r="B50" t="s">
        <v>378</v>
      </c>
      <c r="C50" t="s">
        <v>357</v>
      </c>
      <c r="D50" t="s">
        <v>358</v>
      </c>
      <c r="E50" t="s">
        <v>120</v>
      </c>
      <c r="F50" t="s">
        <v>88</v>
      </c>
      <c r="G50" t="s">
        <v>89</v>
      </c>
      <c r="H50" t="s">
        <v>90</v>
      </c>
      <c r="I50" t="s">
        <v>113</v>
      </c>
      <c r="J50">
        <v>50700</v>
      </c>
      <c r="K50" t="s">
        <v>183</v>
      </c>
      <c r="L50">
        <v>61</v>
      </c>
      <c r="M50">
        <v>2820</v>
      </c>
      <c r="N50">
        <v>70</v>
      </c>
      <c r="O50">
        <v>2</v>
      </c>
      <c r="P50" t="s">
        <v>94</v>
      </c>
      <c r="Q50" t="s">
        <v>379</v>
      </c>
      <c r="R50" t="s">
        <v>380</v>
      </c>
      <c r="S50">
        <v>290244000</v>
      </c>
      <c r="T50">
        <v>1.3081</v>
      </c>
      <c r="U50">
        <v>2.8987</v>
      </c>
      <c r="V50">
        <v>66.44</v>
      </c>
      <c r="W50">
        <v>0.0387</v>
      </c>
      <c r="X50" s="14" t="str">
        <f>IFERROR(INDEX('코드표'!$B$2:$B$500,MATCH(TRIM(I50),'코드표'!$A$2:$A$500,0)),"미분류")</f>
        <v>DA</v>
      </c>
      <c r="Y50" s="14">
        <f>IFERROR(IF(--L50&gt;0,1,0),"")</f>
        <v>1</v>
      </c>
    </row>
    <row r="51" spans="1:25">
      <c r="A51" t="s">
        <v>381</v>
      </c>
      <c r="B51" t="s">
        <v>382</v>
      </c>
      <c r="C51" t="s">
        <v>383</v>
      </c>
      <c r="D51" t="s">
        <v>189</v>
      </c>
      <c r="E51" t="s">
        <v>190</v>
      </c>
      <c r="F51" t="s">
        <v>128</v>
      </c>
      <c r="G51" t="s">
        <v>89</v>
      </c>
      <c r="H51" t="s">
        <v>90</v>
      </c>
      <c r="I51" t="s">
        <v>276</v>
      </c>
      <c r="J51">
        <v>70360</v>
      </c>
      <c r="K51" t="s">
        <v>130</v>
      </c>
      <c r="L51">
        <v>0</v>
      </c>
      <c r="M51">
        <v>0</v>
      </c>
      <c r="N51">
        <v>67</v>
      </c>
      <c r="O51" t="s">
        <v>93</v>
      </c>
      <c r="P51" t="s">
        <v>131</v>
      </c>
      <c r="Q51" t="s">
        <v>384</v>
      </c>
      <c r="R51" t="s">
        <v>385</v>
      </c>
      <c r="S51">
        <v>36022000</v>
      </c>
      <c r="T51">
        <v>1.9284</v>
      </c>
      <c r="U51">
        <v>1.4149</v>
      </c>
      <c r="V51">
        <v>62.9</v>
      </c>
      <c r="W51">
        <v>0.07049999999999999</v>
      </c>
      <c r="X51" s="14" t="str">
        <f>IFERROR(INDEX('코드표'!$B$2:$B$500,MATCH(TRIM(I51),'코드표'!$A$2:$A$500,0)),"미분류")</f>
        <v>OA</v>
      </c>
      <c r="Y51" s="14">
        <f>IFERROR(IF(--L51&gt;0,1,0),"")</f>
        <v>0</v>
      </c>
    </row>
    <row r="52" spans="1:25">
      <c r="A52" t="s">
        <v>386</v>
      </c>
      <c r="B52" t="s">
        <v>387</v>
      </c>
      <c r="C52" t="s">
        <v>188</v>
      </c>
      <c r="D52" t="s">
        <v>189</v>
      </c>
      <c r="E52" t="s">
        <v>190</v>
      </c>
      <c r="F52" t="s">
        <v>88</v>
      </c>
      <c r="G52" t="s">
        <v>89</v>
      </c>
      <c r="H52" t="s">
        <v>90</v>
      </c>
      <c r="I52" t="s">
        <v>388</v>
      </c>
      <c r="J52">
        <v>0</v>
      </c>
      <c r="K52" t="s">
        <v>105</v>
      </c>
      <c r="L52">
        <v>0</v>
      </c>
      <c r="M52">
        <v>0</v>
      </c>
      <c r="N52">
        <v>61</v>
      </c>
      <c r="O52" t="s">
        <v>93</v>
      </c>
      <c r="P52" t="s">
        <v>94</v>
      </c>
      <c r="Q52" t="s">
        <v>389</v>
      </c>
      <c r="R52" t="s">
        <v>390</v>
      </c>
      <c r="S52">
        <v>102155000</v>
      </c>
      <c r="T52">
        <v>1.5084</v>
      </c>
      <c r="U52">
        <v>1.3483</v>
      </c>
      <c r="V52">
        <v>65.44</v>
      </c>
      <c r="W52">
        <v>0.0771</v>
      </c>
      <c r="X52" s="14" t="str">
        <f>IFERROR(INDEX('코드표'!$B$2:$B$500,MATCH(TRIM(I52),'코드표'!$A$2:$A$500,0)),"미분류")</f>
        <v>OA</v>
      </c>
      <c r="Y52" s="14">
        <f>IFERROR(IF(--L52&gt;0,1,0),"")</f>
        <v>0</v>
      </c>
    </row>
    <row r="53" spans="1:25">
      <c r="A53" t="s">
        <v>391</v>
      </c>
      <c r="B53" t="s">
        <v>392</v>
      </c>
      <c r="C53" t="s">
        <v>126</v>
      </c>
      <c r="D53" t="s">
        <v>127</v>
      </c>
      <c r="E53" t="s">
        <v>112</v>
      </c>
      <c r="F53" t="s">
        <v>288</v>
      </c>
      <c r="G53" t="s">
        <v>289</v>
      </c>
      <c r="H53" t="s">
        <v>393</v>
      </c>
      <c r="I53" t="s">
        <v>394</v>
      </c>
      <c r="J53">
        <v>0</v>
      </c>
      <c r="K53" t="s">
        <v>105</v>
      </c>
      <c r="L53">
        <v>0</v>
      </c>
      <c r="M53">
        <v>0</v>
      </c>
      <c r="O53">
        <v>3</v>
      </c>
      <c r="P53" t="s">
        <v>94</v>
      </c>
      <c r="Q53" t="s">
        <v>395</v>
      </c>
      <c r="R53" t="s">
        <v>396</v>
      </c>
      <c r="S53">
        <v>167235000</v>
      </c>
      <c r="T53">
        <v>1.3405</v>
      </c>
      <c r="U53">
        <v>2.2583</v>
      </c>
      <c r="V53">
        <v>60.99</v>
      </c>
      <c r="W53">
        <v>0.1026</v>
      </c>
      <c r="X53" s="14" t="str">
        <f>IFERROR(INDEX('코드표'!$B$2:$B$500,MATCH(TRIM(I53),'코드표'!$A$2:$A$500,0)),"미분류")</f>
        <v>LC_SIGHT</v>
      </c>
      <c r="Y53" s="14">
        <f>IFERROR(IF(--L53&gt;0,1,0),"")</f>
        <v>0</v>
      </c>
    </row>
    <row r="54" spans="1:25">
      <c r="A54" t="s">
        <v>397</v>
      </c>
      <c r="B54" t="s">
        <v>398</v>
      </c>
      <c r="C54" t="s">
        <v>148</v>
      </c>
      <c r="D54" t="s">
        <v>149</v>
      </c>
      <c r="E54" t="s">
        <v>87</v>
      </c>
      <c r="F54" t="s">
        <v>172</v>
      </c>
      <c r="G54" t="s">
        <v>89</v>
      </c>
      <c r="H54" t="s">
        <v>90</v>
      </c>
      <c r="I54" t="s">
        <v>399</v>
      </c>
      <c r="J54">
        <v>71550</v>
      </c>
      <c r="K54" t="s">
        <v>92</v>
      </c>
      <c r="L54">
        <v>0</v>
      </c>
      <c r="M54">
        <v>0</v>
      </c>
      <c r="O54" t="s">
        <v>93</v>
      </c>
      <c r="P54" t="s">
        <v>94</v>
      </c>
      <c r="Q54" t="s">
        <v>400</v>
      </c>
      <c r="R54" t="s">
        <v>401</v>
      </c>
      <c r="S54">
        <v>258078000</v>
      </c>
      <c r="T54">
        <v>1.4617</v>
      </c>
      <c r="U54">
        <v>2.5688</v>
      </c>
      <c r="V54">
        <v>81.48</v>
      </c>
      <c r="W54">
        <v>0.0348</v>
      </c>
      <c r="X54" s="14" t="str">
        <f>IFERROR(INDEX('코드표'!$B$2:$B$500,MATCH(TRIM(I54),'코드표'!$A$2:$A$500,0)),"미분류")</f>
        <v>OA</v>
      </c>
      <c r="Y54" s="14">
        <f>IFERROR(IF(--L54&gt;0,1,0),"")</f>
        <v>0</v>
      </c>
    </row>
    <row r="55" spans="1:25">
      <c r="A55" t="s">
        <v>402</v>
      </c>
      <c r="B55" t="s">
        <v>403</v>
      </c>
      <c r="C55" t="s">
        <v>85</v>
      </c>
      <c r="D55" t="s">
        <v>86</v>
      </c>
      <c r="E55" t="s">
        <v>87</v>
      </c>
      <c r="F55" t="s">
        <v>288</v>
      </c>
      <c r="G55" t="s">
        <v>289</v>
      </c>
      <c r="H55" t="s">
        <v>404</v>
      </c>
      <c r="I55" t="s">
        <v>291</v>
      </c>
      <c r="J55">
        <v>0</v>
      </c>
      <c r="K55" t="s">
        <v>92</v>
      </c>
      <c r="L55">
        <v>0</v>
      </c>
      <c r="M55">
        <v>0</v>
      </c>
      <c r="O55" t="s">
        <v>93</v>
      </c>
      <c r="P55" t="s">
        <v>131</v>
      </c>
      <c r="Q55" t="s">
        <v>405</v>
      </c>
      <c r="R55" t="s">
        <v>406</v>
      </c>
      <c r="S55">
        <v>411694000</v>
      </c>
      <c r="T55">
        <v>1.67</v>
      </c>
      <c r="U55">
        <v>0.3774</v>
      </c>
      <c r="V55">
        <v>31.63</v>
      </c>
      <c r="W55">
        <v>0.129</v>
      </c>
      <c r="X55" s="14" t="str">
        <f>IFERROR(INDEX('코드표'!$B$2:$B$500,MATCH(TRIM(I55),'코드표'!$A$2:$A$500,0)),"미분류")</f>
        <v>OA</v>
      </c>
      <c r="Y55" s="14">
        <f>IFERROR(IF(--L55&gt;0,1,0),"")</f>
        <v>0</v>
      </c>
    </row>
    <row r="56" spans="1:25">
      <c r="A56" t="s">
        <v>407</v>
      </c>
      <c r="B56" t="s">
        <v>408</v>
      </c>
      <c r="C56" t="s">
        <v>188</v>
      </c>
      <c r="D56" t="s">
        <v>189</v>
      </c>
      <c r="E56" t="s">
        <v>190</v>
      </c>
      <c r="F56" t="s">
        <v>172</v>
      </c>
      <c r="G56" t="s">
        <v>89</v>
      </c>
      <c r="H56" t="s">
        <v>90</v>
      </c>
      <c r="I56" t="s">
        <v>409</v>
      </c>
      <c r="J56">
        <v>0</v>
      </c>
      <c r="K56" t="s">
        <v>105</v>
      </c>
      <c r="L56">
        <v>0</v>
      </c>
      <c r="M56">
        <v>0</v>
      </c>
      <c r="N56">
        <v>25</v>
      </c>
      <c r="O56" t="s">
        <v>93</v>
      </c>
      <c r="P56" t="s">
        <v>131</v>
      </c>
      <c r="Q56" t="s">
        <v>410</v>
      </c>
      <c r="R56" t="s">
        <v>140</v>
      </c>
      <c r="X56" s="14" t="str">
        <f>IFERROR(INDEX('코드표'!$B$2:$B$500,MATCH(TRIM(I56),'코드표'!$A$2:$A$500,0)),"미분류")</f>
        <v>OA</v>
      </c>
      <c r="Y56" s="14">
        <f>IFERROR(IF(--L56&gt;0,1,0),"")</f>
        <v>0</v>
      </c>
    </row>
    <row r="57" spans="1:25">
      <c r="A57" t="s">
        <v>411</v>
      </c>
      <c r="B57" t="s">
        <v>412</v>
      </c>
      <c r="C57" t="s">
        <v>188</v>
      </c>
      <c r="D57" t="s">
        <v>189</v>
      </c>
      <c r="E57" t="s">
        <v>190</v>
      </c>
      <c r="G57" t="s">
        <v>89</v>
      </c>
      <c r="H57" t="s">
        <v>90</v>
      </c>
      <c r="I57" t="s">
        <v>413</v>
      </c>
      <c r="J57">
        <v>50380</v>
      </c>
      <c r="K57" t="s">
        <v>105</v>
      </c>
      <c r="L57">
        <v>0</v>
      </c>
      <c r="M57">
        <v>0</v>
      </c>
      <c r="N57">
        <v>76</v>
      </c>
      <c r="O57" t="s">
        <v>93</v>
      </c>
      <c r="P57" t="s">
        <v>131</v>
      </c>
      <c r="Q57" t="s">
        <v>414</v>
      </c>
      <c r="R57" t="s">
        <v>415</v>
      </c>
      <c r="S57">
        <v>8052000</v>
      </c>
      <c r="T57">
        <v>1.2621</v>
      </c>
      <c r="U57">
        <v>0.7235</v>
      </c>
      <c r="V57">
        <v>55.48</v>
      </c>
      <c r="W57">
        <v>0.1</v>
      </c>
      <c r="X57" s="14" t="str">
        <f>IFERROR(INDEX('코드표'!$B$2:$B$500,MATCH(TRIM(I57),'코드표'!$A$2:$A$500,0)),"미분류")</f>
        <v>OA</v>
      </c>
      <c r="Y57" s="14">
        <f>IFERROR(IF(--L57&gt;0,1,0),"")</f>
        <v>0</v>
      </c>
    </row>
    <row r="58" spans="1:25">
      <c r="A58" t="s">
        <v>416</v>
      </c>
      <c r="B58" t="s">
        <v>417</v>
      </c>
      <c r="C58" t="s">
        <v>126</v>
      </c>
      <c r="D58" t="s">
        <v>127</v>
      </c>
      <c r="E58" t="s">
        <v>112</v>
      </c>
      <c r="F58" t="s">
        <v>88</v>
      </c>
      <c r="G58" t="s">
        <v>89</v>
      </c>
      <c r="H58" t="s">
        <v>90</v>
      </c>
      <c r="I58" t="s">
        <v>418</v>
      </c>
      <c r="J58">
        <v>137350</v>
      </c>
      <c r="K58" t="s">
        <v>105</v>
      </c>
      <c r="L58">
        <v>0</v>
      </c>
      <c r="M58">
        <v>0</v>
      </c>
      <c r="O58">
        <v>3</v>
      </c>
      <c r="P58" t="s">
        <v>94</v>
      </c>
      <c r="Q58" t="s">
        <v>419</v>
      </c>
      <c r="R58" t="s">
        <v>420</v>
      </c>
      <c r="S58">
        <v>46739000</v>
      </c>
      <c r="T58">
        <v>1.0522</v>
      </c>
      <c r="U58">
        <v>1.4712</v>
      </c>
      <c r="V58">
        <v>72.2</v>
      </c>
      <c r="W58">
        <v>0.0684</v>
      </c>
      <c r="X58" s="14" t="str">
        <f>IFERROR(INDEX('코드표'!$B$2:$B$500,MATCH(TRIM(I58),'코드표'!$A$2:$A$500,0)),"미분류")</f>
        <v>LC_USANCE</v>
      </c>
      <c r="Y58" s="14">
        <f>IFERROR(IF(--L58&gt;0,1,0),"")</f>
        <v>0</v>
      </c>
    </row>
    <row r="59" spans="1:25">
      <c r="A59" t="s">
        <v>421</v>
      </c>
      <c r="B59" t="s">
        <v>422</v>
      </c>
      <c r="C59" t="s">
        <v>136</v>
      </c>
      <c r="D59" t="s">
        <v>137</v>
      </c>
      <c r="E59" t="s">
        <v>112</v>
      </c>
      <c r="F59" t="s">
        <v>128</v>
      </c>
      <c r="G59" t="s">
        <v>89</v>
      </c>
      <c r="H59" t="s">
        <v>90</v>
      </c>
      <c r="I59" t="s">
        <v>423</v>
      </c>
      <c r="J59">
        <v>0</v>
      </c>
      <c r="K59" t="s">
        <v>105</v>
      </c>
      <c r="L59" t="s">
        <v>93</v>
      </c>
      <c r="M59">
        <v>0</v>
      </c>
      <c r="N59">
        <v>82</v>
      </c>
      <c r="O59">
        <v>2</v>
      </c>
      <c r="P59" t="s">
        <v>94</v>
      </c>
      <c r="Q59" t="s">
        <v>424</v>
      </c>
      <c r="R59" t="s">
        <v>140</v>
      </c>
      <c r="X59" s="14" t="str">
        <f>IFERROR(INDEX('코드표'!$B$2:$B$500,MATCH(TRIM(I59),'코드표'!$A$2:$A$500,0)),"미분류")</f>
        <v>OA</v>
      </c>
      <c r="Y59" s="14">
        <f>IFERROR(IF(--L59&gt;0,1,0),"")</f>
        <v/>
      </c>
    </row>
    <row r="60" spans="1:25">
      <c r="A60" t="s">
        <v>425</v>
      </c>
      <c r="B60" t="s">
        <v>426</v>
      </c>
      <c r="C60" t="s">
        <v>110</v>
      </c>
      <c r="D60" t="s">
        <v>111</v>
      </c>
      <c r="E60" t="s">
        <v>112</v>
      </c>
      <c r="F60" t="s">
        <v>102</v>
      </c>
      <c r="G60" t="s">
        <v>89</v>
      </c>
      <c r="H60" t="s">
        <v>90</v>
      </c>
      <c r="I60" t="s">
        <v>138</v>
      </c>
      <c r="J60">
        <v>40560</v>
      </c>
      <c r="K60" t="s">
        <v>105</v>
      </c>
      <c r="L60">
        <v>70</v>
      </c>
      <c r="M60">
        <v>4980</v>
      </c>
      <c r="N60">
        <v>80</v>
      </c>
      <c r="O60">
        <v>3</v>
      </c>
      <c r="P60" t="s">
        <v>131</v>
      </c>
      <c r="Q60" t="s">
        <v>427</v>
      </c>
      <c r="R60" t="s">
        <v>428</v>
      </c>
      <c r="S60">
        <v>48891000</v>
      </c>
      <c r="T60">
        <v>0.7766999999999999</v>
      </c>
      <c r="U60">
        <v>2.3297</v>
      </c>
      <c r="V60">
        <v>76.37</v>
      </c>
      <c r="W60">
        <v>-0.0505</v>
      </c>
      <c r="X60" s="14" t="str">
        <f>IFERROR(INDEX('코드표'!$B$2:$B$500,MATCH(TRIM(I60),'코드표'!$A$2:$A$500,0)),"미분류")</f>
        <v>OA</v>
      </c>
      <c r="Y60" s="14">
        <f>IFERROR(IF(--L60&gt;0,1,0),"")</f>
        <v>1</v>
      </c>
    </row>
    <row r="61" spans="1:25">
      <c r="A61" t="s">
        <v>429</v>
      </c>
      <c r="B61" t="s">
        <v>430</v>
      </c>
      <c r="C61" t="s">
        <v>110</v>
      </c>
      <c r="D61" t="s">
        <v>111</v>
      </c>
      <c r="E61" t="s">
        <v>112</v>
      </c>
      <c r="F61" t="s">
        <v>102</v>
      </c>
      <c r="G61" t="s">
        <v>89</v>
      </c>
      <c r="H61" t="s">
        <v>90</v>
      </c>
      <c r="I61" t="s">
        <v>319</v>
      </c>
      <c r="J61">
        <v>0</v>
      </c>
      <c r="K61" t="s">
        <v>183</v>
      </c>
      <c r="L61">
        <v>0</v>
      </c>
      <c r="M61">
        <v>0</v>
      </c>
      <c r="O61">
        <v>3</v>
      </c>
      <c r="P61" t="s">
        <v>94</v>
      </c>
      <c r="Q61" t="s">
        <v>431</v>
      </c>
      <c r="R61" t="s">
        <v>140</v>
      </c>
      <c r="X61" s="14" t="str">
        <f>IFERROR(INDEX('코드표'!$B$2:$B$500,MATCH(TRIM(I61),'코드표'!$A$2:$A$500,0)),"미분류")</f>
        <v>TT_ADV</v>
      </c>
      <c r="Y61" s="14">
        <f>IFERROR(IF(--L61&gt;0,1,0),"")</f>
        <v>0</v>
      </c>
    </row>
    <row r="62" spans="1:25">
      <c r="A62" t="s">
        <v>432</v>
      </c>
      <c r="B62" t="s">
        <v>433</v>
      </c>
      <c r="C62" t="s">
        <v>170</v>
      </c>
      <c r="D62" t="s">
        <v>171</v>
      </c>
      <c r="E62" t="s">
        <v>112</v>
      </c>
      <c r="G62" t="s">
        <v>89</v>
      </c>
      <c r="H62" t="s">
        <v>90</v>
      </c>
      <c r="I62" t="s">
        <v>434</v>
      </c>
      <c r="J62">
        <v>0</v>
      </c>
      <c r="K62" t="s">
        <v>130</v>
      </c>
      <c r="L62">
        <v>0</v>
      </c>
      <c r="M62">
        <v>0</v>
      </c>
      <c r="N62">
        <v>81</v>
      </c>
      <c r="O62">
        <v>3</v>
      </c>
      <c r="P62" t="s">
        <v>94</v>
      </c>
      <c r="Q62" t="s">
        <v>435</v>
      </c>
      <c r="R62" t="s">
        <v>436</v>
      </c>
      <c r="S62">
        <v>21218000</v>
      </c>
      <c r="T62">
        <v>2.0769</v>
      </c>
      <c r="U62">
        <v>2.5709</v>
      </c>
      <c r="V62">
        <v>82.12</v>
      </c>
      <c r="X62" s="14" t="str">
        <f>IFERROR(INDEX('코드표'!$B$2:$B$500,MATCH(TRIM(I62),'코드표'!$A$2:$A$500,0)),"미분류")</f>
        <v>DA</v>
      </c>
      <c r="Y62" s="14">
        <f>IFERROR(IF(--L62&gt;0,1,0),"")</f>
        <v>0</v>
      </c>
    </row>
    <row r="63" spans="1:25">
      <c r="A63" t="s">
        <v>366</v>
      </c>
      <c r="B63" t="s">
        <v>367</v>
      </c>
      <c r="C63" t="s">
        <v>281</v>
      </c>
      <c r="D63" t="s">
        <v>282</v>
      </c>
      <c r="E63" t="s">
        <v>190</v>
      </c>
      <c r="F63" t="s">
        <v>164</v>
      </c>
      <c r="G63" t="s">
        <v>89</v>
      </c>
      <c r="H63" t="s">
        <v>90</v>
      </c>
      <c r="I63" t="s">
        <v>368</v>
      </c>
      <c r="J63">
        <v>54540</v>
      </c>
      <c r="K63" t="s">
        <v>105</v>
      </c>
      <c r="L63">
        <v>48</v>
      </c>
      <c r="M63">
        <v>27300</v>
      </c>
      <c r="N63">
        <v>76</v>
      </c>
      <c r="O63">
        <v>3</v>
      </c>
      <c r="P63" t="s">
        <v>131</v>
      </c>
      <c r="Q63" t="s">
        <v>369</v>
      </c>
      <c r="R63" t="s">
        <v>140</v>
      </c>
      <c r="X63" s="14" t="str">
        <f>IFERROR(INDEX('코드표'!$B$2:$B$500,MATCH(TRIM(I63),'코드표'!$A$2:$A$500,0)),"미분류")</f>
        <v>OA</v>
      </c>
      <c r="Y63" s="14">
        <f>IFERROR(IF(--L63&gt;0,1,0),"")</f>
        <v>1</v>
      </c>
    </row>
    <row r="64" spans="1:25">
      <c r="A64" t="s">
        <v>437</v>
      </c>
      <c r="B64" t="s">
        <v>438</v>
      </c>
      <c r="C64" t="s">
        <v>188</v>
      </c>
      <c r="D64" t="s">
        <v>189</v>
      </c>
      <c r="E64" t="s">
        <v>190</v>
      </c>
      <c r="F64" t="s">
        <v>128</v>
      </c>
      <c r="G64" t="s">
        <v>89</v>
      </c>
      <c r="H64" t="s">
        <v>90</v>
      </c>
      <c r="I64" t="s">
        <v>439</v>
      </c>
      <c r="J64">
        <v>35660</v>
      </c>
      <c r="K64" t="s">
        <v>105</v>
      </c>
      <c r="L64">
        <v>12</v>
      </c>
      <c r="M64">
        <v>18310</v>
      </c>
      <c r="N64">
        <v>80</v>
      </c>
      <c r="O64" t="s">
        <v>93</v>
      </c>
      <c r="P64" t="s">
        <v>131</v>
      </c>
      <c r="Q64" t="s">
        <v>440</v>
      </c>
      <c r="R64" t="s">
        <v>441</v>
      </c>
      <c r="S64">
        <v>105519000</v>
      </c>
      <c r="U64">
        <v>1.4445</v>
      </c>
      <c r="V64">
        <v>71.16</v>
      </c>
      <c r="W64">
        <v>0.09429999999999999</v>
      </c>
      <c r="X64" s="14" t="str">
        <f>IFERROR(INDEX('코드표'!$B$2:$B$500,MATCH(TRIM(I64),'코드표'!$A$2:$A$500,0)),"미분류")</f>
        <v>미분류</v>
      </c>
      <c r="Y64" s="14">
        <f>IFERROR(IF(--L64&gt;0,1,0),"")</f>
        <v>1</v>
      </c>
    </row>
    <row r="65" spans="1:25">
      <c r="A65" t="s">
        <v>442</v>
      </c>
      <c r="B65" t="s">
        <v>443</v>
      </c>
      <c r="C65" t="s">
        <v>99</v>
      </c>
      <c r="D65" t="s">
        <v>100</v>
      </c>
      <c r="E65" t="s">
        <v>101</v>
      </c>
      <c r="F65" t="s">
        <v>164</v>
      </c>
      <c r="G65" t="s">
        <v>89</v>
      </c>
      <c r="H65" t="s">
        <v>90</v>
      </c>
      <c r="I65" t="s">
        <v>258</v>
      </c>
      <c r="J65">
        <v>0</v>
      </c>
      <c r="K65" t="s">
        <v>156</v>
      </c>
      <c r="L65">
        <v>0</v>
      </c>
      <c r="M65">
        <v>0</v>
      </c>
      <c r="O65">
        <v>2</v>
      </c>
      <c r="P65" t="s">
        <v>94</v>
      </c>
      <c r="Q65" t="s">
        <v>444</v>
      </c>
      <c r="R65" t="s">
        <v>445</v>
      </c>
      <c r="S65">
        <v>7780000</v>
      </c>
      <c r="T65">
        <v>1.5264</v>
      </c>
      <c r="U65">
        <v>3.7475</v>
      </c>
      <c r="V65">
        <v>122.5</v>
      </c>
      <c r="W65">
        <v>0.0068</v>
      </c>
      <c r="X65" s="14" t="str">
        <f>IFERROR(INDEX('코드표'!$B$2:$B$500,MATCH(TRIM(I65),'코드표'!$A$2:$A$500,0)),"미분류")</f>
        <v>TT_ADV</v>
      </c>
      <c r="Y65" s="14">
        <f>IFERROR(IF(--L65&gt;0,1,0),"")</f>
        <v>0</v>
      </c>
    </row>
    <row r="66" spans="1:25">
      <c r="A66" t="s">
        <v>446</v>
      </c>
      <c r="B66" t="s">
        <v>447</v>
      </c>
      <c r="C66" t="s">
        <v>188</v>
      </c>
      <c r="D66" t="s">
        <v>189</v>
      </c>
      <c r="E66" t="s">
        <v>190</v>
      </c>
      <c r="F66" t="s">
        <v>128</v>
      </c>
      <c r="G66" t="s">
        <v>89</v>
      </c>
      <c r="H66" t="s">
        <v>90</v>
      </c>
      <c r="I66" t="s">
        <v>222</v>
      </c>
      <c r="J66">
        <v>27216</v>
      </c>
      <c r="K66" t="s">
        <v>105</v>
      </c>
      <c r="L66">
        <v>0</v>
      </c>
      <c r="M66">
        <v>0</v>
      </c>
      <c r="N66">
        <v>78</v>
      </c>
      <c r="O66" t="s">
        <v>93</v>
      </c>
      <c r="P66" t="s">
        <v>131</v>
      </c>
      <c r="Q66" t="s">
        <v>448</v>
      </c>
      <c r="R66" t="s">
        <v>449</v>
      </c>
      <c r="S66">
        <v>437380000</v>
      </c>
      <c r="T66">
        <v>1.9739</v>
      </c>
      <c r="U66">
        <v>0.5995</v>
      </c>
      <c r="V66">
        <v>58.34</v>
      </c>
      <c r="W66">
        <v>0.1062</v>
      </c>
      <c r="X66" s="14" t="str">
        <f>IFERROR(INDEX('코드표'!$B$2:$B$500,MATCH(TRIM(I66),'코드표'!$A$2:$A$500,0)),"미분류")</f>
        <v>TT_SPLIT_30_70</v>
      </c>
      <c r="Y66" s="14">
        <f>IFERROR(IF(--L66&gt;0,1,0),"")</f>
        <v>0</v>
      </c>
    </row>
    <row r="67" spans="1:25">
      <c r="A67" t="s">
        <v>450</v>
      </c>
      <c r="B67" t="s">
        <v>451</v>
      </c>
      <c r="C67" t="s">
        <v>452</v>
      </c>
      <c r="D67" t="s">
        <v>171</v>
      </c>
      <c r="E67" t="s">
        <v>112</v>
      </c>
      <c r="F67" t="s">
        <v>288</v>
      </c>
      <c r="G67" t="s">
        <v>289</v>
      </c>
      <c r="H67" t="s">
        <v>393</v>
      </c>
      <c r="I67" t="s">
        <v>453</v>
      </c>
      <c r="J67">
        <v>0</v>
      </c>
      <c r="K67" t="s">
        <v>105</v>
      </c>
      <c r="L67">
        <v>0</v>
      </c>
      <c r="M67">
        <v>0</v>
      </c>
      <c r="O67">
        <v>3</v>
      </c>
      <c r="P67" t="s">
        <v>94</v>
      </c>
      <c r="Q67" t="s">
        <v>454</v>
      </c>
      <c r="R67" t="s">
        <v>455</v>
      </c>
      <c r="S67">
        <v>218133000</v>
      </c>
      <c r="W67">
        <v>0.1091</v>
      </c>
      <c r="X67" s="14" t="str">
        <f>IFERROR(INDEX('코드표'!$B$2:$B$500,MATCH(TRIM(I67),'코드표'!$A$2:$A$500,0)),"미분류")</f>
        <v>LC_SIGHT</v>
      </c>
      <c r="Y67" s="14">
        <f>IFERROR(IF(--L67&gt;0,1,0),"")</f>
        <v>0</v>
      </c>
    </row>
    <row r="68" spans="1:25">
      <c r="A68" t="s">
        <v>456</v>
      </c>
      <c r="B68" t="s">
        <v>457</v>
      </c>
      <c r="C68" t="s">
        <v>357</v>
      </c>
      <c r="D68" t="s">
        <v>358</v>
      </c>
      <c r="E68" t="s">
        <v>120</v>
      </c>
      <c r="F68" t="s">
        <v>164</v>
      </c>
      <c r="G68" t="s">
        <v>89</v>
      </c>
      <c r="H68" t="s">
        <v>90</v>
      </c>
      <c r="I68" t="s">
        <v>458</v>
      </c>
      <c r="J68">
        <v>80550</v>
      </c>
      <c r="K68" t="s">
        <v>105</v>
      </c>
      <c r="L68" t="s">
        <v>459</v>
      </c>
      <c r="M68" t="s">
        <v>460</v>
      </c>
      <c r="N68">
        <v>73</v>
      </c>
      <c r="O68">
        <v>2</v>
      </c>
      <c r="P68" t="s">
        <v>131</v>
      </c>
      <c r="Q68" t="s">
        <v>461</v>
      </c>
      <c r="R68" t="s">
        <v>462</v>
      </c>
      <c r="S68">
        <v>166249000</v>
      </c>
      <c r="T68">
        <v>1.1868</v>
      </c>
      <c r="V68">
        <v>37.87</v>
      </c>
      <c r="W68">
        <v>0.06710000000000001</v>
      </c>
      <c r="X68" s="14" t="str">
        <f>IFERROR(INDEX('코드표'!$B$2:$B$500,MATCH(TRIM(I68),'코드표'!$A$2:$A$500,0)),"미분류")</f>
        <v>DA</v>
      </c>
      <c r="Y68" s="14">
        <f>IFERROR(IF(--L68&gt;0,1,0),"")</f>
        <v/>
      </c>
    </row>
    <row r="69" spans="1:25">
      <c r="A69" t="s">
        <v>463</v>
      </c>
      <c r="B69" t="s">
        <v>464</v>
      </c>
      <c r="C69" t="s">
        <v>341</v>
      </c>
      <c r="D69" t="s">
        <v>342</v>
      </c>
      <c r="E69" t="s">
        <v>190</v>
      </c>
      <c r="F69" t="s">
        <v>164</v>
      </c>
      <c r="G69" t="s">
        <v>89</v>
      </c>
      <c r="H69" t="s">
        <v>90</v>
      </c>
      <c r="I69" t="s">
        <v>465</v>
      </c>
      <c r="J69">
        <v>0</v>
      </c>
      <c r="K69" t="s">
        <v>105</v>
      </c>
      <c r="L69">
        <v>0</v>
      </c>
      <c r="M69">
        <v>0</v>
      </c>
      <c r="N69">
        <v>80</v>
      </c>
      <c r="O69">
        <v>4</v>
      </c>
      <c r="P69" t="s">
        <v>94</v>
      </c>
      <c r="Q69" t="s">
        <v>466</v>
      </c>
      <c r="R69" t="s">
        <v>140</v>
      </c>
      <c r="X69" s="14" t="str">
        <f>IFERROR(INDEX('코드표'!$B$2:$B$500,MATCH(TRIM(I69),'코드표'!$A$2:$A$500,0)),"미분류")</f>
        <v>DP</v>
      </c>
      <c r="Y69" s="14">
        <f>IFERROR(IF(--L69&gt;0,1,0),"")</f>
        <v>0</v>
      </c>
    </row>
    <row r="70" spans="1:25">
      <c r="A70" t="s">
        <v>467</v>
      </c>
      <c r="B70" t="s">
        <v>468</v>
      </c>
      <c r="C70" t="s">
        <v>251</v>
      </c>
      <c r="D70" t="s">
        <v>252</v>
      </c>
      <c r="E70" t="s">
        <v>112</v>
      </c>
      <c r="F70" t="s">
        <v>102</v>
      </c>
      <c r="G70" t="s">
        <v>89</v>
      </c>
      <c r="H70" t="s">
        <v>90</v>
      </c>
      <c r="I70" t="s">
        <v>439</v>
      </c>
      <c r="J70" t="s">
        <v>469</v>
      </c>
      <c r="K70" t="s">
        <v>105</v>
      </c>
      <c r="L70">
        <v>0</v>
      </c>
      <c r="M70">
        <v>0</v>
      </c>
      <c r="N70">
        <v>68</v>
      </c>
      <c r="O70">
        <v>3</v>
      </c>
      <c r="P70" t="s">
        <v>94</v>
      </c>
      <c r="Q70" t="s">
        <v>470</v>
      </c>
      <c r="R70" t="s">
        <v>471</v>
      </c>
      <c r="S70">
        <v>656839000</v>
      </c>
      <c r="U70">
        <v>3.0522</v>
      </c>
      <c r="V70">
        <v>70.06999999999999</v>
      </c>
      <c r="W70">
        <v>0.0613</v>
      </c>
      <c r="X70" s="14" t="str">
        <f>IFERROR(INDEX('코드표'!$B$2:$B$500,MATCH(TRIM(I70),'코드표'!$A$2:$A$500,0)),"미분류")</f>
        <v>미분류</v>
      </c>
      <c r="Y70" s="14">
        <f>IFERROR(IF(--L70&gt;0,1,0),"")</f>
        <v>0</v>
      </c>
    </row>
    <row r="71" spans="1:25">
      <c r="A71" t="s">
        <v>472</v>
      </c>
      <c r="B71" t="s">
        <v>473</v>
      </c>
      <c r="C71" t="s">
        <v>357</v>
      </c>
      <c r="D71" t="s">
        <v>358</v>
      </c>
      <c r="E71" t="s">
        <v>120</v>
      </c>
      <c r="F71" t="s">
        <v>102</v>
      </c>
      <c r="G71" t="s">
        <v>89</v>
      </c>
      <c r="H71" t="s">
        <v>90</v>
      </c>
      <c r="I71" t="s">
        <v>283</v>
      </c>
      <c r="J71">
        <v>0</v>
      </c>
      <c r="K71" t="s">
        <v>105</v>
      </c>
      <c r="L71">
        <v>0</v>
      </c>
      <c r="M71">
        <v>0</v>
      </c>
      <c r="O71">
        <v>2</v>
      </c>
      <c r="P71" t="s">
        <v>94</v>
      </c>
      <c r="Q71" t="s">
        <v>474</v>
      </c>
      <c r="R71" t="s">
        <v>140</v>
      </c>
      <c r="X71" s="14" t="str">
        <f>IFERROR(INDEX('코드표'!$B$2:$B$500,MATCH(TRIM(I71),'코드표'!$A$2:$A$500,0)),"미분류")</f>
        <v>OA</v>
      </c>
      <c r="Y71" s="14">
        <f>IFERROR(IF(--L71&gt;0,1,0),"")</f>
        <v>0</v>
      </c>
    </row>
    <row r="72" spans="1:25">
      <c r="A72" t="s">
        <v>475</v>
      </c>
      <c r="B72" t="s">
        <v>476</v>
      </c>
      <c r="C72" t="s">
        <v>161</v>
      </c>
      <c r="D72" t="s">
        <v>162</v>
      </c>
      <c r="E72" t="s">
        <v>163</v>
      </c>
      <c r="F72" t="s">
        <v>102</v>
      </c>
      <c r="G72" t="s">
        <v>89</v>
      </c>
      <c r="H72" t="s">
        <v>90</v>
      </c>
      <c r="I72" t="s">
        <v>283</v>
      </c>
      <c r="J72">
        <v>7380</v>
      </c>
      <c r="K72" t="s">
        <v>92</v>
      </c>
      <c r="L72">
        <v>0</v>
      </c>
      <c r="M72">
        <v>0</v>
      </c>
      <c r="N72">
        <v>78</v>
      </c>
      <c r="O72" t="s">
        <v>93</v>
      </c>
      <c r="P72" t="s">
        <v>131</v>
      </c>
      <c r="Q72" t="s">
        <v>477</v>
      </c>
      <c r="R72" t="s">
        <v>478</v>
      </c>
      <c r="S72">
        <v>34816000</v>
      </c>
      <c r="T72">
        <v>1.5278</v>
      </c>
      <c r="U72">
        <v>1.8168</v>
      </c>
      <c r="V72">
        <v>96.55</v>
      </c>
      <c r="W72">
        <v>0.0723</v>
      </c>
      <c r="X72" s="14" t="str">
        <f>IFERROR(INDEX('코드표'!$B$2:$B$500,MATCH(TRIM(I72),'코드표'!$A$2:$A$500,0)),"미분류")</f>
        <v>OA</v>
      </c>
      <c r="Y72" s="14">
        <f>IFERROR(IF(--L72&gt;0,1,0),"")</f>
        <v>0</v>
      </c>
    </row>
    <row r="73" spans="1:25">
      <c r="A73" t="s">
        <v>479</v>
      </c>
      <c r="B73" t="s">
        <v>480</v>
      </c>
      <c r="C73" t="s">
        <v>196</v>
      </c>
      <c r="D73" t="s">
        <v>197</v>
      </c>
      <c r="E73" t="s">
        <v>101</v>
      </c>
      <c r="F73" t="s">
        <v>88</v>
      </c>
      <c r="G73" t="s">
        <v>89</v>
      </c>
      <c r="H73" t="s">
        <v>90</v>
      </c>
      <c r="I73" t="s">
        <v>359</v>
      </c>
      <c r="J73">
        <v>65000</v>
      </c>
      <c r="K73" t="s">
        <v>105</v>
      </c>
      <c r="L73">
        <v>269</v>
      </c>
      <c r="M73">
        <v>65000</v>
      </c>
      <c r="O73">
        <v>2</v>
      </c>
      <c r="P73" t="s">
        <v>131</v>
      </c>
      <c r="Q73" t="s">
        <v>481</v>
      </c>
      <c r="R73" t="s">
        <v>482</v>
      </c>
      <c r="S73">
        <v>51338000</v>
      </c>
      <c r="T73">
        <v>0.7455000000000001</v>
      </c>
      <c r="U73">
        <v>2.0398</v>
      </c>
      <c r="V73">
        <v>122.69</v>
      </c>
      <c r="W73">
        <v>-0.0518</v>
      </c>
      <c r="X73" s="14" t="str">
        <f>IFERROR(INDEX('코드표'!$B$2:$B$500,MATCH(TRIM(I73),'코드표'!$A$2:$A$500,0)),"미분류")</f>
        <v>OA</v>
      </c>
      <c r="Y73" s="14">
        <f>IFERROR(IF(--L73&gt;0,1,0),"")</f>
        <v>1</v>
      </c>
    </row>
    <row r="74" spans="1:25">
      <c r="A74" t="s">
        <v>483</v>
      </c>
      <c r="B74" t="s">
        <v>484</v>
      </c>
      <c r="C74" t="s">
        <v>148</v>
      </c>
      <c r="D74" t="s">
        <v>149</v>
      </c>
      <c r="E74" t="s">
        <v>87</v>
      </c>
      <c r="F74" t="s">
        <v>128</v>
      </c>
      <c r="G74" t="s">
        <v>89</v>
      </c>
      <c r="H74" t="s">
        <v>90</v>
      </c>
      <c r="I74" t="s">
        <v>138</v>
      </c>
      <c r="J74">
        <v>8490</v>
      </c>
      <c r="K74" t="s">
        <v>92</v>
      </c>
      <c r="L74">
        <v>0</v>
      </c>
      <c r="M74">
        <v>0</v>
      </c>
      <c r="O74" t="s">
        <v>93</v>
      </c>
      <c r="P74" t="s">
        <v>94</v>
      </c>
      <c r="Q74" t="s">
        <v>485</v>
      </c>
      <c r="R74" t="s">
        <v>486</v>
      </c>
      <c r="S74">
        <v>22733000</v>
      </c>
      <c r="T74">
        <v>1.2085</v>
      </c>
      <c r="U74">
        <v>2.1859</v>
      </c>
      <c r="V74">
        <v>66.59999999999999</v>
      </c>
      <c r="W74">
        <v>0.019</v>
      </c>
      <c r="X74" s="14" t="str">
        <f>IFERROR(INDEX('코드표'!$B$2:$B$500,MATCH(TRIM(I74),'코드표'!$A$2:$A$500,0)),"미분류")</f>
        <v>OA</v>
      </c>
      <c r="Y74" s="14">
        <f>IFERROR(IF(--L74&gt;0,1,0),"")</f>
        <v>0</v>
      </c>
    </row>
    <row r="75" spans="1:25">
      <c r="A75" t="s">
        <v>487</v>
      </c>
      <c r="B75" t="s">
        <v>488</v>
      </c>
      <c r="C75" t="s">
        <v>341</v>
      </c>
      <c r="D75" t="s">
        <v>342</v>
      </c>
      <c r="E75" t="s">
        <v>190</v>
      </c>
      <c r="F75" t="s">
        <v>172</v>
      </c>
      <c r="G75" t="s">
        <v>89</v>
      </c>
      <c r="H75" t="s">
        <v>90</v>
      </c>
      <c r="I75" t="s">
        <v>138</v>
      </c>
      <c r="J75">
        <v>48270</v>
      </c>
      <c r="K75" t="s">
        <v>105</v>
      </c>
      <c r="L75">
        <v>19</v>
      </c>
      <c r="M75" t="s">
        <v>489</v>
      </c>
      <c r="N75">
        <v>75</v>
      </c>
      <c r="O75">
        <v>4</v>
      </c>
      <c r="P75" t="s">
        <v>94</v>
      </c>
      <c r="Q75" t="s">
        <v>490</v>
      </c>
      <c r="R75" t="s">
        <v>491</v>
      </c>
      <c r="S75">
        <v>61234000</v>
      </c>
      <c r="T75">
        <v>1.4512</v>
      </c>
      <c r="U75">
        <v>1.8159</v>
      </c>
      <c r="V75">
        <v>69.73999999999999</v>
      </c>
      <c r="W75">
        <v>0.0368</v>
      </c>
      <c r="X75" s="14" t="str">
        <f>IFERROR(INDEX('코드표'!$B$2:$B$500,MATCH(TRIM(I75),'코드표'!$A$2:$A$500,0)),"미분류")</f>
        <v>OA</v>
      </c>
      <c r="Y75" s="14">
        <f>IFERROR(IF(--L75&gt;0,1,0),"")</f>
        <v>1</v>
      </c>
    </row>
    <row r="76" spans="1:25">
      <c r="A76" t="s">
        <v>492</v>
      </c>
      <c r="B76" t="s">
        <v>493</v>
      </c>
      <c r="C76" t="s">
        <v>136</v>
      </c>
      <c r="D76" t="s">
        <v>137</v>
      </c>
      <c r="E76" t="s">
        <v>112</v>
      </c>
      <c r="F76" t="s">
        <v>88</v>
      </c>
      <c r="G76" t="s">
        <v>89</v>
      </c>
      <c r="H76" t="s">
        <v>90</v>
      </c>
      <c r="I76" t="s">
        <v>494</v>
      </c>
      <c r="J76">
        <v>0</v>
      </c>
      <c r="K76" t="s">
        <v>105</v>
      </c>
      <c r="L76">
        <v>0</v>
      </c>
      <c r="M76">
        <v>0</v>
      </c>
      <c r="N76">
        <v>80</v>
      </c>
      <c r="O76">
        <v>2</v>
      </c>
      <c r="P76" t="s">
        <v>94</v>
      </c>
      <c r="Q76" t="s">
        <v>495</v>
      </c>
      <c r="R76" t="s">
        <v>496</v>
      </c>
      <c r="S76">
        <v>41388000</v>
      </c>
      <c r="T76">
        <v>1.0855</v>
      </c>
      <c r="U76">
        <v>2.3661</v>
      </c>
      <c r="V76">
        <v>105.61</v>
      </c>
      <c r="W76">
        <v>0.0252</v>
      </c>
      <c r="X76" s="14" t="str">
        <f>IFERROR(INDEX('코드표'!$B$2:$B$500,MATCH(TRIM(I76),'코드표'!$A$2:$A$500,0)),"미분류")</f>
        <v>OA</v>
      </c>
      <c r="Y76" s="14">
        <f>IFERROR(IF(--L76&gt;0,1,0),"")</f>
        <v>0</v>
      </c>
    </row>
    <row r="77" spans="1:25">
      <c r="A77" t="s">
        <v>497</v>
      </c>
      <c r="B77" t="s">
        <v>498</v>
      </c>
      <c r="C77" t="s">
        <v>148</v>
      </c>
      <c r="D77" t="s">
        <v>149</v>
      </c>
      <c r="E77" t="s">
        <v>87</v>
      </c>
      <c r="F77" t="s">
        <v>128</v>
      </c>
      <c r="G77" t="s">
        <v>89</v>
      </c>
      <c r="H77" t="s">
        <v>90</v>
      </c>
      <c r="I77" t="s">
        <v>499</v>
      </c>
      <c r="J77">
        <v>4710</v>
      </c>
      <c r="K77" t="s">
        <v>92</v>
      </c>
      <c r="L77">
        <v>89</v>
      </c>
      <c r="M77">
        <v>4710</v>
      </c>
      <c r="O77" t="s">
        <v>93</v>
      </c>
      <c r="P77" t="s">
        <v>131</v>
      </c>
      <c r="Q77" t="s">
        <v>500</v>
      </c>
      <c r="R77" t="s">
        <v>501</v>
      </c>
      <c r="S77">
        <v>39424000</v>
      </c>
      <c r="W77">
        <v>0.108</v>
      </c>
      <c r="X77" s="14" t="str">
        <f>IFERROR(INDEX('코드표'!$B$2:$B$500,MATCH(TRIM(I77),'코드표'!$A$2:$A$500,0)),"미분류")</f>
        <v>OA</v>
      </c>
      <c r="Y77" s="14">
        <f>IFERROR(IF(--L77&gt;0,1,0),"")</f>
        <v>1</v>
      </c>
    </row>
    <row r="78" spans="1:25">
      <c r="A78" t="s">
        <v>502</v>
      </c>
      <c r="B78" t="s">
        <v>503</v>
      </c>
      <c r="C78" t="s">
        <v>161</v>
      </c>
      <c r="D78" t="s">
        <v>162</v>
      </c>
      <c r="E78" t="s">
        <v>163</v>
      </c>
      <c r="F78" t="s">
        <v>102</v>
      </c>
      <c r="G78" t="s">
        <v>89</v>
      </c>
      <c r="H78" t="s">
        <v>90</v>
      </c>
      <c r="I78" t="s">
        <v>409</v>
      </c>
      <c r="J78">
        <v>0</v>
      </c>
      <c r="K78" t="s">
        <v>92</v>
      </c>
      <c r="L78">
        <v>0</v>
      </c>
      <c r="M78">
        <v>0</v>
      </c>
      <c r="N78">
        <v>85</v>
      </c>
      <c r="O78" t="s">
        <v>93</v>
      </c>
      <c r="P78" t="s">
        <v>131</v>
      </c>
      <c r="Q78" t="s">
        <v>504</v>
      </c>
      <c r="R78" t="s">
        <v>505</v>
      </c>
      <c r="S78">
        <v>7585000</v>
      </c>
      <c r="U78">
        <v>0.5352</v>
      </c>
      <c r="V78">
        <v>45.14</v>
      </c>
      <c r="W78">
        <v>0.1548</v>
      </c>
      <c r="X78" s="14" t="str">
        <f>IFERROR(INDEX('코드표'!$B$2:$B$500,MATCH(TRIM(I78),'코드표'!$A$2:$A$500,0)),"미분류")</f>
        <v>OA</v>
      </c>
      <c r="Y78" s="14">
        <f>IFERROR(IF(--L78&gt;0,1,0),"")</f>
        <v>0</v>
      </c>
    </row>
    <row r="79" spans="1:25">
      <c r="A79" t="s">
        <v>506</v>
      </c>
      <c r="B79" t="s">
        <v>507</v>
      </c>
      <c r="C79" t="s">
        <v>126</v>
      </c>
      <c r="D79" t="s">
        <v>127</v>
      </c>
      <c r="E79" t="s">
        <v>112</v>
      </c>
      <c r="F79" t="s">
        <v>88</v>
      </c>
      <c r="G79" t="s">
        <v>89</v>
      </c>
      <c r="H79" t="s">
        <v>90</v>
      </c>
      <c r="I79" t="s">
        <v>508</v>
      </c>
      <c r="J79">
        <v>0</v>
      </c>
      <c r="K79" t="s">
        <v>105</v>
      </c>
      <c r="L79">
        <v>0</v>
      </c>
      <c r="M79">
        <v>0</v>
      </c>
      <c r="N79">
        <v>76</v>
      </c>
      <c r="O79">
        <v>3</v>
      </c>
      <c r="P79" t="s">
        <v>94</v>
      </c>
      <c r="Q79" t="s">
        <v>509</v>
      </c>
      <c r="R79" t="s">
        <v>510</v>
      </c>
      <c r="S79">
        <v>14578000</v>
      </c>
      <c r="T79">
        <v>0.9191</v>
      </c>
      <c r="V79">
        <v>146.85</v>
      </c>
      <c r="W79">
        <v>-0.0181</v>
      </c>
      <c r="X79" s="14" t="str">
        <f>IFERROR(INDEX('코드표'!$B$2:$B$500,MATCH(TRIM(I79),'코드표'!$A$2:$A$500,0)),"미분류")</f>
        <v>DP</v>
      </c>
      <c r="Y79" s="14">
        <f>IFERROR(IF(--L79&gt;0,1,0),"")</f>
        <v>0</v>
      </c>
    </row>
    <row r="80" spans="1:25">
      <c r="A80" t="s">
        <v>511</v>
      </c>
      <c r="B80" t="s">
        <v>512</v>
      </c>
      <c r="C80" t="s">
        <v>126</v>
      </c>
      <c r="D80" t="s">
        <v>127</v>
      </c>
      <c r="E80" t="s">
        <v>112</v>
      </c>
      <c r="F80" t="s">
        <v>102</v>
      </c>
      <c r="G80" t="s">
        <v>89</v>
      </c>
      <c r="H80" t="s">
        <v>90</v>
      </c>
      <c r="I80" t="s">
        <v>513</v>
      </c>
      <c r="J80">
        <v>7882</v>
      </c>
      <c r="K80" t="s">
        <v>105</v>
      </c>
      <c r="L80">
        <v>0</v>
      </c>
      <c r="M80">
        <v>0</v>
      </c>
      <c r="N80">
        <v>68</v>
      </c>
      <c r="O80">
        <v>3</v>
      </c>
      <c r="P80" t="s">
        <v>94</v>
      </c>
      <c r="Q80" t="s">
        <v>514</v>
      </c>
      <c r="R80" t="s">
        <v>515</v>
      </c>
      <c r="S80">
        <v>53852000</v>
      </c>
      <c r="T80">
        <v>1.0277</v>
      </c>
      <c r="U80">
        <v>1.7547</v>
      </c>
      <c r="V80">
        <v>100.85</v>
      </c>
      <c r="W80">
        <v>0.0069</v>
      </c>
      <c r="X80" s="14" t="str">
        <f>IFERROR(INDEX('코드표'!$B$2:$B$500,MATCH(TRIM(I80),'코드표'!$A$2:$A$500,0)),"미분류")</f>
        <v>TT_SPLIT_30_70</v>
      </c>
      <c r="Y80" s="14">
        <f>IFERROR(IF(--L80&gt;0,1,0),"")</f>
        <v>0</v>
      </c>
    </row>
    <row r="81" spans="1:25">
      <c r="A81" t="s">
        <v>516</v>
      </c>
      <c r="B81" t="s">
        <v>517</v>
      </c>
      <c r="C81" t="s">
        <v>262</v>
      </c>
      <c r="D81" t="s">
        <v>263</v>
      </c>
      <c r="E81" t="s">
        <v>101</v>
      </c>
      <c r="F81" t="s">
        <v>102</v>
      </c>
      <c r="G81" t="s">
        <v>89</v>
      </c>
      <c r="H81" t="s">
        <v>90</v>
      </c>
      <c r="I81" t="s">
        <v>409</v>
      </c>
      <c r="J81">
        <v>6815000</v>
      </c>
      <c r="K81" t="s">
        <v>518</v>
      </c>
      <c r="L81">
        <v>0</v>
      </c>
      <c r="M81">
        <v>0</v>
      </c>
      <c r="N81">
        <v>85</v>
      </c>
      <c r="O81" t="s">
        <v>93</v>
      </c>
      <c r="P81" t="s">
        <v>131</v>
      </c>
      <c r="Q81" t="s">
        <v>519</v>
      </c>
      <c r="R81" t="s">
        <v>520</v>
      </c>
      <c r="S81">
        <v>234899000</v>
      </c>
      <c r="T81">
        <v>2.145</v>
      </c>
      <c r="U81">
        <v>0.2813</v>
      </c>
      <c r="V81">
        <v>43.68</v>
      </c>
      <c r="W81">
        <v>0.1247</v>
      </c>
      <c r="X81" s="14" t="str">
        <f>IFERROR(INDEX('코드표'!$B$2:$B$500,MATCH(TRIM(I81),'코드표'!$A$2:$A$500,0)),"미분류")</f>
        <v>OA</v>
      </c>
      <c r="Y81" s="14">
        <f>IFERROR(IF(--L81&gt;0,1,0),"")</f>
        <v>0</v>
      </c>
    </row>
    <row r="82" spans="1:25">
      <c r="A82" t="s">
        <v>521</v>
      </c>
      <c r="B82" t="s">
        <v>522</v>
      </c>
      <c r="C82" t="s">
        <v>262</v>
      </c>
      <c r="D82" t="s">
        <v>263</v>
      </c>
      <c r="E82" t="s">
        <v>101</v>
      </c>
      <c r="F82" t="s">
        <v>128</v>
      </c>
      <c r="G82" t="s">
        <v>89</v>
      </c>
      <c r="H82" t="s">
        <v>90</v>
      </c>
      <c r="I82" t="s">
        <v>253</v>
      </c>
      <c r="J82">
        <v>3149000</v>
      </c>
      <c r="K82" t="s">
        <v>518</v>
      </c>
      <c r="L82">
        <v>0</v>
      </c>
      <c r="M82">
        <v>0</v>
      </c>
      <c r="N82">
        <v>82</v>
      </c>
      <c r="O82" t="s">
        <v>93</v>
      </c>
      <c r="P82" t="s">
        <v>131</v>
      </c>
      <c r="Q82" t="s">
        <v>523</v>
      </c>
      <c r="R82" t="s">
        <v>524</v>
      </c>
      <c r="S82">
        <v>40446000</v>
      </c>
      <c r="T82">
        <v>1.638</v>
      </c>
      <c r="U82">
        <v>0.7411</v>
      </c>
      <c r="V82">
        <v>52.57</v>
      </c>
      <c r="W82">
        <v>0.0801</v>
      </c>
      <c r="X82" s="14" t="str">
        <f>IFERROR(INDEX('코드표'!$B$2:$B$500,MATCH(TRIM(I82),'코드표'!$A$2:$A$500,0)),"미분류")</f>
        <v>OA</v>
      </c>
      <c r="Y82" s="14">
        <f>IFERROR(IF(--L82&gt;0,1,0),"")</f>
        <v>0</v>
      </c>
    </row>
    <row r="83" spans="1:25">
      <c r="A83" t="s">
        <v>525</v>
      </c>
      <c r="B83" t="s">
        <v>526</v>
      </c>
      <c r="C83" t="s">
        <v>262</v>
      </c>
      <c r="D83" t="s">
        <v>263</v>
      </c>
      <c r="E83" t="s">
        <v>101</v>
      </c>
      <c r="F83" t="s">
        <v>128</v>
      </c>
      <c r="G83" t="s">
        <v>89</v>
      </c>
      <c r="H83" t="s">
        <v>90</v>
      </c>
      <c r="I83" t="s">
        <v>527</v>
      </c>
      <c r="J83">
        <v>0</v>
      </c>
      <c r="K83" t="s">
        <v>265</v>
      </c>
      <c r="L83">
        <v>0</v>
      </c>
      <c r="M83">
        <v>0</v>
      </c>
      <c r="O83" t="s">
        <v>93</v>
      </c>
      <c r="P83" t="s">
        <v>94</v>
      </c>
      <c r="Q83" t="s">
        <v>528</v>
      </c>
      <c r="R83" t="s">
        <v>140</v>
      </c>
      <c r="X83" s="14" t="str">
        <f>IFERROR(INDEX('코드표'!$B$2:$B$500,MATCH(TRIM(I83),'코드표'!$A$2:$A$500,0)),"미분류")</f>
        <v>LC_USANCE</v>
      </c>
      <c r="Y83" s="14">
        <f>IFERROR(IF(--L83&gt;0,1,0),"")</f>
        <v>0</v>
      </c>
    </row>
    <row r="84" spans="1:25">
      <c r="A84" t="s">
        <v>529</v>
      </c>
      <c r="B84" t="s">
        <v>530</v>
      </c>
      <c r="C84" t="s">
        <v>262</v>
      </c>
      <c r="D84" t="s">
        <v>263</v>
      </c>
      <c r="E84" t="s">
        <v>101</v>
      </c>
      <c r="F84" t="s">
        <v>102</v>
      </c>
      <c r="G84" t="s">
        <v>89</v>
      </c>
      <c r="H84" t="s">
        <v>90</v>
      </c>
      <c r="I84" t="s">
        <v>409</v>
      </c>
      <c r="J84">
        <v>6545000</v>
      </c>
      <c r="K84" t="s">
        <v>265</v>
      </c>
      <c r="L84">
        <v>0</v>
      </c>
      <c r="M84">
        <v>0</v>
      </c>
      <c r="N84">
        <v>74</v>
      </c>
      <c r="O84" t="s">
        <v>93</v>
      </c>
      <c r="P84" t="s">
        <v>131</v>
      </c>
      <c r="Q84" t="s">
        <v>531</v>
      </c>
      <c r="R84" t="s">
        <v>532</v>
      </c>
      <c r="S84">
        <v>364351000</v>
      </c>
      <c r="T84">
        <v>1.7669</v>
      </c>
      <c r="U84">
        <v>1.6674</v>
      </c>
      <c r="V84">
        <v>69.94</v>
      </c>
      <c r="W84">
        <v>0.0382</v>
      </c>
      <c r="X84" s="14" t="str">
        <f>IFERROR(INDEX('코드표'!$B$2:$B$500,MATCH(TRIM(I84),'코드표'!$A$2:$A$500,0)),"미분류")</f>
        <v>OA</v>
      </c>
      <c r="Y84" s="14">
        <f>IFERROR(IF(--L84&gt;0,1,0),"")</f>
        <v>0</v>
      </c>
    </row>
    <row r="85" spans="1:25">
      <c r="A85" t="s">
        <v>533</v>
      </c>
      <c r="B85" t="s">
        <v>534</v>
      </c>
      <c r="C85" t="s">
        <v>188</v>
      </c>
      <c r="D85" t="s">
        <v>189</v>
      </c>
      <c r="E85" t="s">
        <v>190</v>
      </c>
      <c r="F85" t="s">
        <v>102</v>
      </c>
      <c r="G85" t="s">
        <v>89</v>
      </c>
      <c r="H85" t="s">
        <v>90</v>
      </c>
      <c r="I85" t="s">
        <v>409</v>
      </c>
      <c r="J85">
        <v>2200</v>
      </c>
      <c r="K85" t="s">
        <v>105</v>
      </c>
      <c r="L85">
        <v>305</v>
      </c>
      <c r="M85">
        <v>2200</v>
      </c>
      <c r="O85" t="s">
        <v>93</v>
      </c>
      <c r="P85" t="s">
        <v>131</v>
      </c>
      <c r="Q85" t="s">
        <v>535</v>
      </c>
      <c r="R85" t="s">
        <v>536</v>
      </c>
      <c r="S85">
        <v>4578000</v>
      </c>
      <c r="T85">
        <v>0.9177999999999999</v>
      </c>
      <c r="U85">
        <v>4.1549</v>
      </c>
      <c r="V85">
        <v>83.95</v>
      </c>
      <c r="W85">
        <v>-0.0426</v>
      </c>
      <c r="X85" s="14" t="str">
        <f>IFERROR(INDEX('코드표'!$B$2:$B$500,MATCH(TRIM(I85),'코드표'!$A$2:$A$500,0)),"미분류")</f>
        <v>OA</v>
      </c>
      <c r="Y85" s="14">
        <f>IFERROR(IF(--L85&gt;0,1,0),"")</f>
        <v>1</v>
      </c>
    </row>
    <row r="86" spans="1:25">
      <c r="A86" t="s">
        <v>537</v>
      </c>
      <c r="B86" t="s">
        <v>538</v>
      </c>
      <c r="C86" t="s">
        <v>161</v>
      </c>
      <c r="D86" t="s">
        <v>162</v>
      </c>
      <c r="E86" t="s">
        <v>163</v>
      </c>
      <c r="F86" t="s">
        <v>172</v>
      </c>
      <c r="G86" t="s">
        <v>89</v>
      </c>
      <c r="H86" t="s">
        <v>90</v>
      </c>
      <c r="I86" t="s">
        <v>388</v>
      </c>
      <c r="J86">
        <v>34990</v>
      </c>
      <c r="K86" t="s">
        <v>539</v>
      </c>
      <c r="L86">
        <v>0</v>
      </c>
      <c r="M86">
        <v>0</v>
      </c>
      <c r="O86" t="s">
        <v>93</v>
      </c>
      <c r="P86" t="s">
        <v>94</v>
      </c>
      <c r="Q86" t="s">
        <v>540</v>
      </c>
      <c r="R86" t="s">
        <v>541</v>
      </c>
      <c r="S86">
        <v>530436000</v>
      </c>
      <c r="T86">
        <v>2.4413</v>
      </c>
      <c r="U86">
        <v>0.4085</v>
      </c>
      <c r="V86">
        <v>51.17</v>
      </c>
      <c r="W86">
        <v>0.1408</v>
      </c>
      <c r="X86" s="14" t="str">
        <f>IFERROR(INDEX('코드표'!$B$2:$B$500,MATCH(TRIM(I86),'코드표'!$A$2:$A$500,0)),"미분류")</f>
        <v>OA</v>
      </c>
      <c r="Y86" s="14">
        <f>IFERROR(IF(--L86&gt;0,1,0),"")</f>
        <v>0</v>
      </c>
    </row>
    <row r="87" spans="1:25">
      <c r="A87" t="s">
        <v>542</v>
      </c>
      <c r="B87" t="s">
        <v>543</v>
      </c>
      <c r="C87" t="s">
        <v>357</v>
      </c>
      <c r="D87" t="s">
        <v>358</v>
      </c>
      <c r="E87" t="s">
        <v>120</v>
      </c>
      <c r="F87" t="s">
        <v>128</v>
      </c>
      <c r="G87" t="s">
        <v>89</v>
      </c>
      <c r="H87" t="s">
        <v>90</v>
      </c>
      <c r="I87" t="s">
        <v>544</v>
      </c>
      <c r="J87">
        <v>211500</v>
      </c>
      <c r="K87" t="s">
        <v>105</v>
      </c>
      <c r="L87">
        <v>22</v>
      </c>
      <c r="M87">
        <v>40500</v>
      </c>
      <c r="O87">
        <v>2</v>
      </c>
      <c r="P87" t="s">
        <v>131</v>
      </c>
      <c r="Q87" t="s">
        <v>545</v>
      </c>
      <c r="R87" t="s">
        <v>546</v>
      </c>
      <c r="S87">
        <v>48200000</v>
      </c>
      <c r="T87">
        <v>2.4101</v>
      </c>
      <c r="U87">
        <v>0.46</v>
      </c>
      <c r="V87">
        <v>38</v>
      </c>
      <c r="W87">
        <v>0.146</v>
      </c>
      <c r="X87" s="14" t="str">
        <f>IFERROR(INDEX('코드표'!$B$2:$B$500,MATCH(TRIM(I87),'코드표'!$A$2:$A$500,0)),"미분류")</f>
        <v>미분류</v>
      </c>
      <c r="Y87" s="14">
        <f>IFERROR(IF(--L87&gt;0,1,0),"")</f>
        <v>1</v>
      </c>
    </row>
    <row r="88" spans="1:25">
      <c r="A88" t="s">
        <v>547</v>
      </c>
      <c r="B88" t="s">
        <v>548</v>
      </c>
      <c r="C88" t="s">
        <v>549</v>
      </c>
      <c r="D88" t="s">
        <v>149</v>
      </c>
      <c r="E88" t="s">
        <v>87</v>
      </c>
      <c r="F88" t="s">
        <v>102</v>
      </c>
      <c r="G88" t="s">
        <v>89</v>
      </c>
      <c r="H88" t="s">
        <v>90</v>
      </c>
      <c r="I88" t="s">
        <v>550</v>
      </c>
      <c r="J88">
        <v>165085</v>
      </c>
      <c r="K88" t="s">
        <v>92</v>
      </c>
      <c r="L88">
        <v>0</v>
      </c>
      <c r="M88">
        <v>0</v>
      </c>
      <c r="N88">
        <v>77</v>
      </c>
      <c r="O88" t="s">
        <v>93</v>
      </c>
      <c r="P88" t="s">
        <v>94</v>
      </c>
      <c r="Q88" t="s">
        <v>551</v>
      </c>
      <c r="R88" t="s">
        <v>552</v>
      </c>
      <c r="S88">
        <v>412770000</v>
      </c>
      <c r="T88">
        <v>2.4251</v>
      </c>
      <c r="U88">
        <v>1.064</v>
      </c>
      <c r="V88">
        <v>57.54</v>
      </c>
      <c r="W88">
        <v>0.174</v>
      </c>
      <c r="X88" s="14" t="str">
        <f>IFERROR(INDEX('코드표'!$B$2:$B$500,MATCH(TRIM(I88),'코드표'!$A$2:$A$500,0)),"미분류")</f>
        <v>OA</v>
      </c>
      <c r="Y88" s="14">
        <f>IFERROR(IF(--L88&gt;0,1,0),"")</f>
        <v>0</v>
      </c>
    </row>
    <row r="89" spans="1:25">
      <c r="A89" t="s">
        <v>553</v>
      </c>
      <c r="B89" t="s">
        <v>554</v>
      </c>
      <c r="C89" t="s">
        <v>196</v>
      </c>
      <c r="D89" t="s">
        <v>197</v>
      </c>
      <c r="E89" t="s">
        <v>101</v>
      </c>
      <c r="F89" t="s">
        <v>164</v>
      </c>
      <c r="G89" t="s">
        <v>89</v>
      </c>
      <c r="H89" t="s">
        <v>90</v>
      </c>
      <c r="I89" t="s">
        <v>324</v>
      </c>
      <c r="J89">
        <v>113071.61</v>
      </c>
      <c r="K89" t="s">
        <v>105</v>
      </c>
      <c r="L89">
        <v>32</v>
      </c>
      <c r="M89">
        <v>49854.61</v>
      </c>
      <c r="N89">
        <v>78</v>
      </c>
      <c r="O89">
        <v>2</v>
      </c>
      <c r="P89" t="s">
        <v>131</v>
      </c>
      <c r="Q89" t="s">
        <v>555</v>
      </c>
      <c r="R89" t="s">
        <v>556</v>
      </c>
      <c r="S89">
        <v>417625000</v>
      </c>
      <c r="T89">
        <v>0.7813</v>
      </c>
      <c r="U89">
        <v>4.0517</v>
      </c>
      <c r="V89">
        <v>78.3</v>
      </c>
      <c r="W89">
        <v>-0.0751</v>
      </c>
      <c r="X89" s="14" t="str">
        <f>IFERROR(INDEX('코드표'!$B$2:$B$500,MATCH(TRIM(I89),'코드표'!$A$2:$A$500,0)),"미분류")</f>
        <v>TT_SPLIT_30_70</v>
      </c>
      <c r="Y89" s="14">
        <f>IFERROR(IF(--L89&gt;0,1,0),"")</f>
        <v>1</v>
      </c>
    </row>
    <row r="90" spans="1:25">
      <c r="A90" t="s">
        <v>557</v>
      </c>
      <c r="B90" t="s">
        <v>558</v>
      </c>
      <c r="C90" t="s">
        <v>188</v>
      </c>
      <c r="D90" t="s">
        <v>189</v>
      </c>
      <c r="E90" t="s">
        <v>190</v>
      </c>
      <c r="F90" t="s">
        <v>88</v>
      </c>
      <c r="G90" t="s">
        <v>89</v>
      </c>
      <c r="H90" t="s">
        <v>90</v>
      </c>
      <c r="I90" t="s">
        <v>258</v>
      </c>
      <c r="J90">
        <v>0</v>
      </c>
      <c r="K90" t="s">
        <v>130</v>
      </c>
      <c r="L90">
        <v>0</v>
      </c>
      <c r="M90">
        <v>0</v>
      </c>
      <c r="O90" t="s">
        <v>93</v>
      </c>
      <c r="P90" t="s">
        <v>94</v>
      </c>
      <c r="Q90" t="s">
        <v>559</v>
      </c>
      <c r="R90" t="s">
        <v>560</v>
      </c>
      <c r="S90">
        <v>260702000</v>
      </c>
      <c r="T90">
        <v>1.1423</v>
      </c>
      <c r="U90">
        <v>2.7011</v>
      </c>
      <c r="W90">
        <v>0.1113</v>
      </c>
      <c r="X90" s="14" t="str">
        <f>IFERROR(INDEX('코드표'!$B$2:$B$500,MATCH(TRIM(I90),'코드표'!$A$2:$A$500,0)),"미분류")</f>
        <v>TT_ADV</v>
      </c>
      <c r="Y90" s="14">
        <f>IFERROR(IF(--L90&gt;0,1,0),"")</f>
        <v>0</v>
      </c>
    </row>
    <row r="91" spans="1:25">
      <c r="A91" t="s">
        <v>561</v>
      </c>
      <c r="B91" t="s">
        <v>562</v>
      </c>
      <c r="C91" t="s">
        <v>563</v>
      </c>
      <c r="D91" t="s">
        <v>564</v>
      </c>
      <c r="E91" t="s">
        <v>120</v>
      </c>
      <c r="F91" t="s">
        <v>102</v>
      </c>
      <c r="G91" t="s">
        <v>89</v>
      </c>
      <c r="H91" t="s">
        <v>90</v>
      </c>
      <c r="I91" t="s">
        <v>565</v>
      </c>
      <c r="J91">
        <v>760</v>
      </c>
      <c r="K91" t="s">
        <v>105</v>
      </c>
      <c r="L91">
        <v>0</v>
      </c>
      <c r="M91">
        <v>0</v>
      </c>
      <c r="O91">
        <v>6</v>
      </c>
      <c r="P91" t="s">
        <v>94</v>
      </c>
      <c r="Q91" t="s">
        <v>566</v>
      </c>
      <c r="R91" t="s">
        <v>567</v>
      </c>
      <c r="S91">
        <v>11100000</v>
      </c>
      <c r="T91">
        <v>1.3178</v>
      </c>
      <c r="U91">
        <v>1.767</v>
      </c>
      <c r="V91">
        <v>129.26</v>
      </c>
      <c r="X91" s="14" t="str">
        <f>IFERROR(INDEX('코드표'!$B$2:$B$500,MATCH(TRIM(I91),'코드표'!$A$2:$A$500,0)),"미분류")</f>
        <v>LC_SIGHT</v>
      </c>
      <c r="Y91" s="14">
        <f>IFERROR(IF(--L91&gt;0,1,0),"")</f>
        <v>0</v>
      </c>
    </row>
    <row r="92" spans="1:25">
      <c r="A92" t="s">
        <v>568</v>
      </c>
      <c r="B92" t="s">
        <v>569</v>
      </c>
      <c r="C92" t="s">
        <v>188</v>
      </c>
      <c r="D92" t="s">
        <v>189</v>
      </c>
      <c r="E92" t="s">
        <v>190</v>
      </c>
      <c r="F92" t="s">
        <v>102</v>
      </c>
      <c r="G92" t="s">
        <v>89</v>
      </c>
      <c r="H92" t="s">
        <v>90</v>
      </c>
      <c r="I92" t="s">
        <v>409</v>
      </c>
      <c r="J92">
        <v>7550</v>
      </c>
      <c r="K92" t="s">
        <v>105</v>
      </c>
      <c r="L92">
        <v>0</v>
      </c>
      <c r="M92">
        <v>0</v>
      </c>
      <c r="N92">
        <v>79</v>
      </c>
      <c r="O92" t="s">
        <v>93</v>
      </c>
      <c r="P92" t="s">
        <v>94</v>
      </c>
      <c r="Q92" t="s">
        <v>570</v>
      </c>
      <c r="R92" t="s">
        <v>571</v>
      </c>
      <c r="S92">
        <v>8275000</v>
      </c>
      <c r="T92">
        <v>1.42</v>
      </c>
      <c r="U92">
        <v>2.6232</v>
      </c>
      <c r="V92">
        <v>63.08</v>
      </c>
      <c r="W92">
        <v>0.021</v>
      </c>
      <c r="X92" s="14" t="str">
        <f>IFERROR(INDEX('코드표'!$B$2:$B$500,MATCH(TRIM(I92),'코드표'!$A$2:$A$500,0)),"미분류")</f>
        <v>OA</v>
      </c>
      <c r="Y92" s="14">
        <f>IFERROR(IF(--L92&gt;0,1,0),"")</f>
        <v>0</v>
      </c>
    </row>
    <row r="93" spans="1:25">
      <c r="A93" t="s">
        <v>572</v>
      </c>
      <c r="B93" t="s">
        <v>573</v>
      </c>
      <c r="C93" t="s">
        <v>85</v>
      </c>
      <c r="D93" t="s">
        <v>86</v>
      </c>
      <c r="E93" t="s">
        <v>87</v>
      </c>
      <c r="F93" t="s">
        <v>128</v>
      </c>
      <c r="G93" t="s">
        <v>89</v>
      </c>
      <c r="H93" t="s">
        <v>90</v>
      </c>
      <c r="I93" t="s">
        <v>574</v>
      </c>
      <c r="J93" t="s">
        <v>575</v>
      </c>
      <c r="K93" t="s">
        <v>92</v>
      </c>
      <c r="L93">
        <v>0</v>
      </c>
      <c r="M93">
        <v>0</v>
      </c>
      <c r="N93">
        <v>75</v>
      </c>
      <c r="O93" t="s">
        <v>93</v>
      </c>
      <c r="P93" t="s">
        <v>131</v>
      </c>
      <c r="Q93" t="s">
        <v>576</v>
      </c>
      <c r="R93" t="s">
        <v>577</v>
      </c>
      <c r="S93">
        <v>5745000</v>
      </c>
      <c r="T93">
        <v>1.7027</v>
      </c>
      <c r="U93">
        <v>1.2415</v>
      </c>
      <c r="V93">
        <v>66.58</v>
      </c>
      <c r="W93">
        <v>0.0978</v>
      </c>
      <c r="X93" s="14" t="str">
        <f>IFERROR(INDEX('코드표'!$B$2:$B$500,MATCH(TRIM(I93),'코드표'!$A$2:$A$500,0)),"미분류")</f>
        <v>DA</v>
      </c>
      <c r="Y93" s="14">
        <f>IFERROR(IF(--L93&gt;0,1,0),"")</f>
        <v>0</v>
      </c>
    </row>
    <row r="94" spans="1:25">
      <c r="A94" t="s">
        <v>578</v>
      </c>
      <c r="B94" t="s">
        <v>579</v>
      </c>
      <c r="C94" t="s">
        <v>161</v>
      </c>
      <c r="D94" t="s">
        <v>162</v>
      </c>
      <c r="E94" t="s">
        <v>163</v>
      </c>
      <c r="F94" t="s">
        <v>128</v>
      </c>
      <c r="G94" t="s">
        <v>89</v>
      </c>
      <c r="H94" t="s">
        <v>90</v>
      </c>
      <c r="I94" t="s">
        <v>222</v>
      </c>
      <c r="J94">
        <v>0</v>
      </c>
      <c r="K94" t="s">
        <v>92</v>
      </c>
      <c r="L94">
        <v>0</v>
      </c>
      <c r="M94">
        <v>0</v>
      </c>
      <c r="N94">
        <v>82</v>
      </c>
      <c r="O94" t="s">
        <v>93</v>
      </c>
      <c r="P94" t="s">
        <v>94</v>
      </c>
      <c r="Q94" t="s">
        <v>580</v>
      </c>
      <c r="R94" t="s">
        <v>581</v>
      </c>
      <c r="S94">
        <v>7605000</v>
      </c>
      <c r="T94">
        <v>1.1524</v>
      </c>
      <c r="U94">
        <v>10.4589</v>
      </c>
      <c r="V94">
        <v>129.68</v>
      </c>
      <c r="W94">
        <v>-0.0354</v>
      </c>
      <c r="X94" s="14" t="str">
        <f>IFERROR(INDEX('코드표'!$B$2:$B$500,MATCH(TRIM(I94),'코드표'!$A$2:$A$500,0)),"미분류")</f>
        <v>TT_SPLIT_30_70</v>
      </c>
      <c r="Y94" s="14">
        <f>IFERROR(IF(--L94&gt;0,1,0),"")</f>
        <v>0</v>
      </c>
    </row>
    <row r="95" spans="1:25">
      <c r="A95" t="s">
        <v>582</v>
      </c>
      <c r="B95" t="s">
        <v>583</v>
      </c>
      <c r="C95" t="s">
        <v>563</v>
      </c>
      <c r="D95" t="s">
        <v>564</v>
      </c>
      <c r="E95" t="s">
        <v>120</v>
      </c>
      <c r="F95" t="s">
        <v>288</v>
      </c>
      <c r="G95" t="s">
        <v>289</v>
      </c>
      <c r="H95" t="s">
        <v>290</v>
      </c>
      <c r="I95" t="s">
        <v>584</v>
      </c>
      <c r="J95">
        <v>88060</v>
      </c>
      <c r="K95" t="s">
        <v>105</v>
      </c>
      <c r="L95">
        <v>0</v>
      </c>
      <c r="M95">
        <v>0</v>
      </c>
      <c r="N95">
        <v>69</v>
      </c>
      <c r="O95">
        <v>6</v>
      </c>
      <c r="P95" t="s">
        <v>131</v>
      </c>
      <c r="Q95" t="s">
        <v>585</v>
      </c>
      <c r="R95" t="s">
        <v>140</v>
      </c>
      <c r="X95" s="14" t="str">
        <f>IFERROR(INDEX('코드표'!$B$2:$B$500,MATCH(TRIM(I95),'코드표'!$A$2:$A$500,0)),"미분류")</f>
        <v>OA</v>
      </c>
      <c r="Y95" s="14">
        <f>IFERROR(IF(--L95&gt;0,1,0),"")</f>
        <v>0</v>
      </c>
    </row>
    <row r="96" spans="1:25">
      <c r="A96" t="s">
        <v>586</v>
      </c>
      <c r="B96" t="s">
        <v>587</v>
      </c>
      <c r="C96" t="s">
        <v>126</v>
      </c>
      <c r="D96" t="s">
        <v>127</v>
      </c>
      <c r="E96" t="s">
        <v>112</v>
      </c>
      <c r="F96" t="s">
        <v>102</v>
      </c>
      <c r="G96" t="s">
        <v>89</v>
      </c>
      <c r="H96" t="s">
        <v>90</v>
      </c>
      <c r="I96" t="s">
        <v>143</v>
      </c>
      <c r="J96">
        <v>13030</v>
      </c>
      <c r="K96" t="s">
        <v>105</v>
      </c>
      <c r="L96">
        <v>0</v>
      </c>
      <c r="M96">
        <v>0</v>
      </c>
      <c r="N96">
        <v>83</v>
      </c>
      <c r="O96">
        <v>3</v>
      </c>
      <c r="P96" t="s">
        <v>131</v>
      </c>
      <c r="Q96" t="s">
        <v>588</v>
      </c>
      <c r="R96" t="s">
        <v>589</v>
      </c>
      <c r="S96">
        <v>49932000</v>
      </c>
      <c r="T96">
        <v>1.8514</v>
      </c>
      <c r="U96">
        <v>0.9688</v>
      </c>
      <c r="V96">
        <v>59.12</v>
      </c>
      <c r="W96">
        <v>0.1597</v>
      </c>
      <c r="X96" s="14" t="str">
        <f>IFERROR(INDEX('코드표'!$B$2:$B$500,MATCH(TRIM(I96),'코드표'!$A$2:$A$500,0)),"미분류")</f>
        <v>OA</v>
      </c>
      <c r="Y96" s="14">
        <f>IFERROR(IF(--L96&gt;0,1,0),"")</f>
        <v>0</v>
      </c>
    </row>
    <row r="97" spans="1:25">
      <c r="A97" t="s">
        <v>590</v>
      </c>
      <c r="B97" t="s">
        <v>591</v>
      </c>
      <c r="C97" t="s">
        <v>118</v>
      </c>
      <c r="D97" t="s">
        <v>119</v>
      </c>
      <c r="E97" t="s">
        <v>120</v>
      </c>
      <c r="F97" t="s">
        <v>102</v>
      </c>
      <c r="G97" t="s">
        <v>89</v>
      </c>
      <c r="H97" t="s">
        <v>90</v>
      </c>
      <c r="I97" t="s">
        <v>372</v>
      </c>
      <c r="J97">
        <v>9150</v>
      </c>
      <c r="K97" t="s">
        <v>105</v>
      </c>
      <c r="L97">
        <v>0</v>
      </c>
      <c r="M97">
        <v>0</v>
      </c>
      <c r="N97">
        <v>59</v>
      </c>
      <c r="O97">
        <v>6</v>
      </c>
      <c r="P97" t="s">
        <v>131</v>
      </c>
      <c r="Q97" t="s">
        <v>592</v>
      </c>
      <c r="R97" t="s">
        <v>593</v>
      </c>
      <c r="S97">
        <v>20182000</v>
      </c>
      <c r="V97">
        <v>81.31</v>
      </c>
      <c r="W97">
        <v>-0.0315</v>
      </c>
      <c r="X97" s="14" t="str">
        <f>IFERROR(INDEX('코드표'!$B$2:$B$500,MATCH(TRIM(I97),'코드표'!$A$2:$A$500,0)),"미분류")</f>
        <v>OA</v>
      </c>
      <c r="Y97" s="14">
        <f>IFERROR(IF(--L97&gt;0,1,0),"")</f>
        <v>0</v>
      </c>
    </row>
    <row r="98" spans="1:25">
      <c r="A98" t="s">
        <v>594</v>
      </c>
      <c r="B98" t="s">
        <v>595</v>
      </c>
      <c r="C98" t="s">
        <v>188</v>
      </c>
      <c r="D98" t="s">
        <v>189</v>
      </c>
      <c r="E98" t="s">
        <v>190</v>
      </c>
      <c r="F98" t="s">
        <v>128</v>
      </c>
      <c r="G98" t="s">
        <v>89</v>
      </c>
      <c r="H98" t="s">
        <v>90</v>
      </c>
      <c r="I98" t="s">
        <v>143</v>
      </c>
      <c r="J98">
        <v>25450</v>
      </c>
      <c r="K98" t="s">
        <v>105</v>
      </c>
      <c r="L98">
        <v>0</v>
      </c>
      <c r="M98">
        <v>0</v>
      </c>
      <c r="N98">
        <v>86</v>
      </c>
      <c r="O98" t="s">
        <v>93</v>
      </c>
      <c r="P98" t="s">
        <v>131</v>
      </c>
      <c r="Q98" t="s">
        <v>596</v>
      </c>
      <c r="R98" t="s">
        <v>140</v>
      </c>
      <c r="X98" s="14" t="str">
        <f>IFERROR(INDEX('코드표'!$B$2:$B$500,MATCH(TRIM(I98),'코드표'!$A$2:$A$500,0)),"미분류")</f>
        <v>OA</v>
      </c>
      <c r="Y98" s="14">
        <f>IFERROR(IF(--L98&gt;0,1,0),"")</f>
        <v>0</v>
      </c>
    </row>
    <row r="99" spans="1:25">
      <c r="A99" t="s">
        <v>597</v>
      </c>
      <c r="B99" t="s">
        <v>598</v>
      </c>
      <c r="C99" t="s">
        <v>220</v>
      </c>
      <c r="D99" t="s">
        <v>221</v>
      </c>
      <c r="E99" t="s">
        <v>120</v>
      </c>
      <c r="F99" t="s">
        <v>288</v>
      </c>
      <c r="G99" t="s">
        <v>289</v>
      </c>
      <c r="H99" t="s">
        <v>290</v>
      </c>
      <c r="I99" t="s">
        <v>291</v>
      </c>
      <c r="J99">
        <v>0</v>
      </c>
      <c r="K99" t="s">
        <v>105</v>
      </c>
      <c r="L99">
        <v>0</v>
      </c>
      <c r="M99">
        <v>0</v>
      </c>
      <c r="N99">
        <v>80</v>
      </c>
      <c r="O99">
        <v>2</v>
      </c>
      <c r="P99" t="s">
        <v>131</v>
      </c>
      <c r="Q99" t="s">
        <v>599</v>
      </c>
      <c r="R99" t="s">
        <v>600</v>
      </c>
      <c r="S99">
        <v>429741000</v>
      </c>
      <c r="T99">
        <v>1.7413</v>
      </c>
      <c r="U99">
        <v>1.6987</v>
      </c>
      <c r="V99">
        <v>77.2</v>
      </c>
      <c r="X99" s="14" t="str">
        <f>IFERROR(INDEX('코드표'!$B$2:$B$500,MATCH(TRIM(I99),'코드표'!$A$2:$A$500,0)),"미분류")</f>
        <v>OA</v>
      </c>
      <c r="Y99" s="14">
        <f>IFERROR(IF(--L99&gt;0,1,0),"")</f>
        <v>0</v>
      </c>
    </row>
    <row r="100" spans="1:25">
      <c r="A100" t="s">
        <v>601</v>
      </c>
      <c r="B100" t="s">
        <v>602</v>
      </c>
      <c r="C100" t="s">
        <v>170</v>
      </c>
      <c r="D100" t="s">
        <v>171</v>
      </c>
      <c r="E100" t="s">
        <v>112</v>
      </c>
      <c r="F100" t="s">
        <v>164</v>
      </c>
      <c r="G100" t="s">
        <v>89</v>
      </c>
      <c r="H100" t="s">
        <v>90</v>
      </c>
      <c r="I100" t="s">
        <v>494</v>
      </c>
      <c r="J100">
        <v>70150</v>
      </c>
      <c r="K100" t="s">
        <v>183</v>
      </c>
      <c r="L100">
        <v>0</v>
      </c>
      <c r="M100">
        <v>0</v>
      </c>
      <c r="N100">
        <v>77</v>
      </c>
      <c r="O100">
        <v>3</v>
      </c>
      <c r="P100" t="s">
        <v>131</v>
      </c>
      <c r="Q100" t="s">
        <v>603</v>
      </c>
      <c r="R100" t="s">
        <v>604</v>
      </c>
      <c r="S100">
        <v>249642000</v>
      </c>
      <c r="T100">
        <v>0.8798</v>
      </c>
      <c r="U100">
        <v>3.7488</v>
      </c>
      <c r="V100">
        <v>107.95</v>
      </c>
      <c r="W100">
        <v>0.0074</v>
      </c>
      <c r="X100" s="14" t="str">
        <f>IFERROR(INDEX('코드표'!$B$2:$B$500,MATCH(TRIM(I100),'코드표'!$A$2:$A$500,0)),"미분류")</f>
        <v>OA</v>
      </c>
      <c r="Y100" s="14">
        <f>IFERROR(IF(--L100&gt;0,1,0),"")</f>
        <v>0</v>
      </c>
    </row>
    <row r="101" spans="1:25">
      <c r="A101" t="s">
        <v>605</v>
      </c>
      <c r="B101" t="s">
        <v>606</v>
      </c>
      <c r="C101" t="s">
        <v>274</v>
      </c>
      <c r="D101" t="s">
        <v>275</v>
      </c>
      <c r="E101" t="s">
        <v>163</v>
      </c>
      <c r="F101" t="s">
        <v>102</v>
      </c>
      <c r="G101" t="s">
        <v>89</v>
      </c>
      <c r="H101" t="s">
        <v>90</v>
      </c>
      <c r="I101" t="s">
        <v>434</v>
      </c>
      <c r="J101">
        <v>0</v>
      </c>
      <c r="K101" t="s">
        <v>105</v>
      </c>
      <c r="L101">
        <v>0</v>
      </c>
      <c r="M101">
        <v>0</v>
      </c>
      <c r="O101">
        <v>5</v>
      </c>
      <c r="P101" t="s">
        <v>131</v>
      </c>
      <c r="Q101" t="s">
        <v>607</v>
      </c>
      <c r="R101" t="s">
        <v>140</v>
      </c>
      <c r="X101" s="14" t="str">
        <f>IFERROR(INDEX('코드표'!$B$2:$B$500,MATCH(TRIM(I101),'코드표'!$A$2:$A$500,0)),"미분류")</f>
        <v>DA</v>
      </c>
      <c r="Y101" s="14">
        <f>IFERROR(IF(--L101&gt;0,1,0),"")</f>
        <v>0</v>
      </c>
    </row>
    <row r="102" spans="1:25">
      <c r="A102" t="s">
        <v>608</v>
      </c>
      <c r="B102" t="s">
        <v>609</v>
      </c>
      <c r="C102" t="s">
        <v>251</v>
      </c>
      <c r="D102" t="s">
        <v>252</v>
      </c>
      <c r="E102" t="s">
        <v>112</v>
      </c>
      <c r="F102" t="s">
        <v>102</v>
      </c>
      <c r="G102" t="s">
        <v>89</v>
      </c>
      <c r="H102" t="s">
        <v>90</v>
      </c>
      <c r="I102" t="s">
        <v>222</v>
      </c>
      <c r="J102">
        <v>0</v>
      </c>
      <c r="K102" t="s">
        <v>105</v>
      </c>
      <c r="L102">
        <v>0</v>
      </c>
      <c r="M102">
        <v>0</v>
      </c>
      <c r="N102">
        <v>78</v>
      </c>
      <c r="O102">
        <v>3</v>
      </c>
      <c r="P102" t="s">
        <v>131</v>
      </c>
      <c r="Q102" t="s">
        <v>610</v>
      </c>
      <c r="R102" t="s">
        <v>611</v>
      </c>
      <c r="S102">
        <v>7899000</v>
      </c>
      <c r="U102">
        <v>1.9447</v>
      </c>
      <c r="V102">
        <v>70.19</v>
      </c>
      <c r="W102">
        <v>0.0172</v>
      </c>
      <c r="X102" s="14" t="str">
        <f>IFERROR(INDEX('코드표'!$B$2:$B$500,MATCH(TRIM(I102),'코드표'!$A$2:$A$500,0)),"미분류")</f>
        <v>TT_SPLIT_30_70</v>
      </c>
      <c r="Y102" s="14">
        <f>IFERROR(IF(--L102&gt;0,1,0),"")</f>
        <v>0</v>
      </c>
    </row>
    <row r="103" spans="1:25">
      <c r="A103" t="s">
        <v>612</v>
      </c>
      <c r="B103" t="s">
        <v>613</v>
      </c>
      <c r="C103" t="s">
        <v>170</v>
      </c>
      <c r="D103" t="s">
        <v>171</v>
      </c>
      <c r="E103" t="s">
        <v>112</v>
      </c>
      <c r="F103" t="s">
        <v>88</v>
      </c>
      <c r="G103" t="s">
        <v>89</v>
      </c>
      <c r="H103" t="s">
        <v>90</v>
      </c>
      <c r="I103" t="s">
        <v>614</v>
      </c>
      <c r="J103">
        <v>50800</v>
      </c>
      <c r="K103" t="s">
        <v>105</v>
      </c>
      <c r="L103">
        <v>0</v>
      </c>
      <c r="M103">
        <v>0</v>
      </c>
      <c r="N103">
        <v>60</v>
      </c>
      <c r="O103">
        <v>3</v>
      </c>
      <c r="P103" t="s">
        <v>131</v>
      </c>
      <c r="Q103" t="s">
        <v>615</v>
      </c>
      <c r="R103" t="s">
        <v>616</v>
      </c>
      <c r="S103">
        <v>149091000</v>
      </c>
      <c r="T103">
        <v>0.9193</v>
      </c>
      <c r="U103">
        <v>4.0888</v>
      </c>
      <c r="V103">
        <v>53.49</v>
      </c>
      <c r="W103">
        <v>0.0456</v>
      </c>
      <c r="X103" s="14" t="str">
        <f>IFERROR(INDEX('코드표'!$B$2:$B$500,MATCH(TRIM(I103),'코드표'!$A$2:$A$500,0)),"미분류")</f>
        <v>미분류</v>
      </c>
      <c r="Y103" s="14">
        <f>IFERROR(IF(--L103&gt;0,1,0),"")</f>
        <v>0</v>
      </c>
    </row>
    <row r="104" spans="1:25">
      <c r="A104" t="s">
        <v>617</v>
      </c>
      <c r="B104" t="s">
        <v>618</v>
      </c>
      <c r="C104" t="s">
        <v>619</v>
      </c>
      <c r="D104" t="s">
        <v>620</v>
      </c>
      <c r="E104" t="s">
        <v>87</v>
      </c>
      <c r="F104" t="s">
        <v>102</v>
      </c>
      <c r="G104" t="s">
        <v>89</v>
      </c>
      <c r="H104" t="s">
        <v>90</v>
      </c>
      <c r="I104" t="s">
        <v>227</v>
      </c>
      <c r="J104">
        <v>0</v>
      </c>
      <c r="K104" t="s">
        <v>105</v>
      </c>
      <c r="L104">
        <v>0</v>
      </c>
      <c r="M104">
        <v>0</v>
      </c>
      <c r="N104">
        <v>73</v>
      </c>
      <c r="O104" t="s">
        <v>93</v>
      </c>
      <c r="P104" t="s">
        <v>131</v>
      </c>
      <c r="Q104" t="s">
        <v>621</v>
      </c>
      <c r="R104" t="s">
        <v>622</v>
      </c>
      <c r="S104">
        <v>51327000</v>
      </c>
      <c r="T104">
        <v>1.7851</v>
      </c>
      <c r="U104">
        <v>0.4342</v>
      </c>
      <c r="V104">
        <v>61.26</v>
      </c>
      <c r="W104">
        <v>0.1132</v>
      </c>
      <c r="X104" s="14" t="str">
        <f>IFERROR(INDEX('코드표'!$B$2:$B$500,MATCH(TRIM(I104),'코드표'!$A$2:$A$500,0)),"미분류")</f>
        <v>OA</v>
      </c>
      <c r="Y104" s="14">
        <f>IFERROR(IF(--L104&gt;0,1,0),"")</f>
        <v>0</v>
      </c>
    </row>
    <row r="105" spans="1:25">
      <c r="A105" t="s">
        <v>623</v>
      </c>
      <c r="B105" t="s">
        <v>624</v>
      </c>
      <c r="C105" t="s">
        <v>220</v>
      </c>
      <c r="D105" t="s">
        <v>221</v>
      </c>
      <c r="E105" t="s">
        <v>120</v>
      </c>
      <c r="F105" t="s">
        <v>128</v>
      </c>
      <c r="G105" t="s">
        <v>89</v>
      </c>
      <c r="H105" t="s">
        <v>90</v>
      </c>
      <c r="I105" t="s">
        <v>494</v>
      </c>
      <c r="J105">
        <v>0</v>
      </c>
      <c r="K105" t="s">
        <v>105</v>
      </c>
      <c r="L105">
        <v>0</v>
      </c>
      <c r="M105">
        <v>0</v>
      </c>
      <c r="O105">
        <v>2</v>
      </c>
      <c r="P105" t="s">
        <v>131</v>
      </c>
      <c r="Q105" t="s">
        <v>625</v>
      </c>
      <c r="R105" t="s">
        <v>140</v>
      </c>
      <c r="X105" s="14" t="str">
        <f>IFERROR(INDEX('코드표'!$B$2:$B$500,MATCH(TRIM(I105),'코드표'!$A$2:$A$500,0)),"미분류")</f>
        <v>OA</v>
      </c>
      <c r="Y105" s="14">
        <f>IFERROR(IF(--L105&gt;0,1,0),"")</f>
        <v>0</v>
      </c>
    </row>
    <row r="106" spans="1:25">
      <c r="A106" t="s">
        <v>626</v>
      </c>
      <c r="B106" t="s">
        <v>627</v>
      </c>
      <c r="C106" t="s">
        <v>281</v>
      </c>
      <c r="D106" t="s">
        <v>282</v>
      </c>
      <c r="E106" t="s">
        <v>190</v>
      </c>
      <c r="F106" t="s">
        <v>128</v>
      </c>
      <c r="G106" t="s">
        <v>89</v>
      </c>
      <c r="H106" t="s">
        <v>90</v>
      </c>
      <c r="I106" t="s">
        <v>409</v>
      </c>
      <c r="J106">
        <v>10190</v>
      </c>
      <c r="K106" t="s">
        <v>183</v>
      </c>
      <c r="L106">
        <v>5</v>
      </c>
      <c r="M106" t="s">
        <v>628</v>
      </c>
      <c r="N106">
        <v>74</v>
      </c>
      <c r="O106">
        <v>3</v>
      </c>
      <c r="P106" t="s">
        <v>131</v>
      </c>
      <c r="Q106" t="s">
        <v>629</v>
      </c>
      <c r="R106" t="s">
        <v>630</v>
      </c>
      <c r="S106">
        <v>8585000</v>
      </c>
      <c r="T106">
        <v>2.2881</v>
      </c>
      <c r="U106">
        <v>0.7409</v>
      </c>
      <c r="V106">
        <v>53.23</v>
      </c>
      <c r="W106">
        <v>0.1067</v>
      </c>
      <c r="X106" s="14" t="str">
        <f>IFERROR(INDEX('코드표'!$B$2:$B$500,MATCH(TRIM(I106),'코드표'!$A$2:$A$500,0)),"미분류")</f>
        <v>OA</v>
      </c>
      <c r="Y106" s="14">
        <f>IFERROR(IF(--L106&gt;0,1,0),"")</f>
        <v>1</v>
      </c>
    </row>
    <row r="107" spans="1:25">
      <c r="A107" t="s">
        <v>586</v>
      </c>
      <c r="B107" t="s">
        <v>631</v>
      </c>
      <c r="C107" t="s">
        <v>126</v>
      </c>
      <c r="D107" t="s">
        <v>127</v>
      </c>
      <c r="E107" t="s">
        <v>112</v>
      </c>
      <c r="F107" t="s">
        <v>102</v>
      </c>
      <c r="G107" t="s">
        <v>89</v>
      </c>
      <c r="H107" t="s">
        <v>90</v>
      </c>
      <c r="I107" t="s">
        <v>143</v>
      </c>
      <c r="J107">
        <v>13030</v>
      </c>
      <c r="K107" t="s">
        <v>105</v>
      </c>
      <c r="L107">
        <v>0</v>
      </c>
      <c r="M107">
        <v>0</v>
      </c>
      <c r="N107">
        <v>83</v>
      </c>
      <c r="O107">
        <v>3</v>
      </c>
      <c r="P107" t="s">
        <v>131</v>
      </c>
      <c r="Q107" t="s">
        <v>588</v>
      </c>
      <c r="R107" t="s">
        <v>589</v>
      </c>
      <c r="S107">
        <v>49932000</v>
      </c>
      <c r="T107">
        <v>1.8514</v>
      </c>
      <c r="U107">
        <v>0.9688</v>
      </c>
      <c r="V107">
        <v>59.12</v>
      </c>
      <c r="W107">
        <v>0.1597</v>
      </c>
      <c r="X107" s="14" t="str">
        <f>IFERROR(INDEX('코드표'!$B$2:$B$500,MATCH(TRIM(I107),'코드표'!$A$2:$A$500,0)),"미분류")</f>
        <v>OA</v>
      </c>
      <c r="Y107" s="14">
        <f>IFERROR(IF(--L107&gt;0,1,0),"")</f>
        <v>0</v>
      </c>
    </row>
    <row r="108" spans="1:25">
      <c r="A108" t="s">
        <v>632</v>
      </c>
      <c r="B108" t="s">
        <v>633</v>
      </c>
      <c r="C108" t="s">
        <v>262</v>
      </c>
      <c r="D108" t="s">
        <v>263</v>
      </c>
      <c r="E108" t="s">
        <v>101</v>
      </c>
      <c r="F108" t="s">
        <v>102</v>
      </c>
      <c r="G108" t="s">
        <v>89</v>
      </c>
      <c r="H108" t="s">
        <v>90</v>
      </c>
      <c r="I108" t="s">
        <v>227</v>
      </c>
      <c r="J108">
        <v>3678000</v>
      </c>
      <c r="K108" t="s">
        <v>265</v>
      </c>
      <c r="L108">
        <v>0</v>
      </c>
      <c r="M108">
        <v>0</v>
      </c>
      <c r="O108" t="s">
        <v>93</v>
      </c>
      <c r="P108" t="s">
        <v>131</v>
      </c>
      <c r="Q108" t="s">
        <v>634</v>
      </c>
      <c r="R108" t="s">
        <v>635</v>
      </c>
      <c r="S108">
        <v>219308000</v>
      </c>
      <c r="T108">
        <v>1.2843</v>
      </c>
      <c r="U108">
        <v>1.5493</v>
      </c>
      <c r="W108">
        <v>0.1145</v>
      </c>
      <c r="X108" s="14" t="str">
        <f>IFERROR(INDEX('코드표'!$B$2:$B$500,MATCH(TRIM(I108),'코드표'!$A$2:$A$500,0)),"미분류")</f>
        <v>OA</v>
      </c>
      <c r="Y108" s="14">
        <f>IFERROR(IF(--L108&gt;0,1,0),"")</f>
        <v>0</v>
      </c>
    </row>
    <row r="109" spans="1:25">
      <c r="A109" t="s">
        <v>636</v>
      </c>
      <c r="B109" t="s">
        <v>637</v>
      </c>
      <c r="C109" t="s">
        <v>274</v>
      </c>
      <c r="D109" t="s">
        <v>275</v>
      </c>
      <c r="E109" t="s">
        <v>163</v>
      </c>
      <c r="F109" t="s">
        <v>128</v>
      </c>
      <c r="G109" t="s">
        <v>89</v>
      </c>
      <c r="H109" t="s">
        <v>90</v>
      </c>
      <c r="I109" t="s">
        <v>638</v>
      </c>
      <c r="J109">
        <v>0</v>
      </c>
      <c r="K109" t="s">
        <v>105</v>
      </c>
      <c r="L109">
        <v>0</v>
      </c>
      <c r="M109">
        <v>0</v>
      </c>
      <c r="O109">
        <v>5</v>
      </c>
      <c r="P109" t="s">
        <v>94</v>
      </c>
      <c r="Q109" t="s">
        <v>639</v>
      </c>
      <c r="R109" t="s">
        <v>640</v>
      </c>
      <c r="S109">
        <v>40154000</v>
      </c>
      <c r="T109">
        <v>0.8292</v>
      </c>
      <c r="V109">
        <v>83.02</v>
      </c>
      <c r="X109" s="14" t="str">
        <f>IFERROR(INDEX('코드표'!$B$2:$B$500,MATCH(TRIM(I109),'코드표'!$A$2:$A$500,0)),"미분류")</f>
        <v>LC_SIGHT</v>
      </c>
      <c r="Y109" s="14">
        <f>IFERROR(IF(--L109&gt;0,1,0),"")</f>
        <v>0</v>
      </c>
    </row>
    <row r="110" spans="1:25">
      <c r="A110" t="s">
        <v>641</v>
      </c>
      <c r="B110" t="s">
        <v>642</v>
      </c>
      <c r="C110" t="s">
        <v>148</v>
      </c>
      <c r="D110" t="s">
        <v>149</v>
      </c>
      <c r="E110" t="s">
        <v>87</v>
      </c>
      <c r="F110" t="s">
        <v>128</v>
      </c>
      <c r="G110" t="s">
        <v>89</v>
      </c>
      <c r="H110" t="s">
        <v>90</v>
      </c>
      <c r="I110" t="s">
        <v>359</v>
      </c>
      <c r="J110" t="s">
        <v>643</v>
      </c>
      <c r="K110" t="s">
        <v>92</v>
      </c>
      <c r="L110">
        <v>0</v>
      </c>
      <c r="M110">
        <v>0</v>
      </c>
      <c r="N110">
        <v>74</v>
      </c>
      <c r="O110" t="s">
        <v>93</v>
      </c>
      <c r="P110" t="s">
        <v>131</v>
      </c>
      <c r="Q110" t="s">
        <v>644</v>
      </c>
      <c r="R110" t="s">
        <v>645</v>
      </c>
      <c r="S110">
        <v>434327000</v>
      </c>
      <c r="T110">
        <v>1.852</v>
      </c>
      <c r="U110">
        <v>0.7239</v>
      </c>
      <c r="V110">
        <v>49.95</v>
      </c>
      <c r="X110" s="14" t="str">
        <f>IFERROR(INDEX('코드표'!$B$2:$B$500,MATCH(TRIM(I110),'코드표'!$A$2:$A$500,0)),"미분류")</f>
        <v>OA</v>
      </c>
      <c r="Y110" s="14">
        <f>IFERROR(IF(--L110&gt;0,1,0),"")</f>
        <v>0</v>
      </c>
    </row>
    <row r="111" spans="1:25">
      <c r="A111" t="s">
        <v>646</v>
      </c>
      <c r="B111" t="s">
        <v>647</v>
      </c>
      <c r="C111" t="s">
        <v>126</v>
      </c>
      <c r="D111" t="s">
        <v>127</v>
      </c>
      <c r="E111" t="s">
        <v>112</v>
      </c>
      <c r="F111" t="s">
        <v>128</v>
      </c>
      <c r="G111" t="s">
        <v>89</v>
      </c>
      <c r="H111" t="s">
        <v>90</v>
      </c>
      <c r="I111" t="s">
        <v>388</v>
      </c>
      <c r="J111">
        <v>98060</v>
      </c>
      <c r="K111" t="s">
        <v>105</v>
      </c>
      <c r="L111">
        <v>0</v>
      </c>
      <c r="M111">
        <v>0</v>
      </c>
      <c r="N111">
        <v>78</v>
      </c>
      <c r="O111">
        <v>3</v>
      </c>
      <c r="P111" t="s">
        <v>131</v>
      </c>
      <c r="Q111" t="s">
        <v>648</v>
      </c>
      <c r="R111" t="s">
        <v>649</v>
      </c>
      <c r="S111">
        <v>411388000</v>
      </c>
      <c r="T111">
        <v>1.7985</v>
      </c>
      <c r="U111">
        <v>0.9736</v>
      </c>
      <c r="V111">
        <v>58.5</v>
      </c>
      <c r="W111">
        <v>0.0337</v>
      </c>
      <c r="X111" s="14" t="str">
        <f>IFERROR(INDEX('코드표'!$B$2:$B$500,MATCH(TRIM(I111),'코드표'!$A$2:$A$500,0)),"미분류")</f>
        <v>OA</v>
      </c>
      <c r="Y111" s="14">
        <f>IFERROR(IF(--L111&gt;0,1,0),"")</f>
        <v>0</v>
      </c>
    </row>
    <row r="112" spans="1:25">
      <c r="A112" t="s">
        <v>650</v>
      </c>
      <c r="B112" t="s">
        <v>651</v>
      </c>
      <c r="C112" t="s">
        <v>126</v>
      </c>
      <c r="D112" t="s">
        <v>127</v>
      </c>
      <c r="E112" t="s">
        <v>112</v>
      </c>
      <c r="F112" t="s">
        <v>164</v>
      </c>
      <c r="G112" t="s">
        <v>89</v>
      </c>
      <c r="H112" t="s">
        <v>90</v>
      </c>
      <c r="I112" t="s">
        <v>494</v>
      </c>
      <c r="J112">
        <v>0</v>
      </c>
      <c r="K112" t="s">
        <v>105</v>
      </c>
      <c r="L112">
        <v>0</v>
      </c>
      <c r="M112">
        <v>0</v>
      </c>
      <c r="N112">
        <v>81</v>
      </c>
      <c r="O112">
        <v>3</v>
      </c>
      <c r="P112" t="s">
        <v>131</v>
      </c>
      <c r="Q112" t="s">
        <v>652</v>
      </c>
      <c r="R112" t="s">
        <v>653</v>
      </c>
      <c r="S112">
        <v>74847000</v>
      </c>
      <c r="T112">
        <v>1.1234</v>
      </c>
      <c r="U112">
        <v>1.371</v>
      </c>
      <c r="W112">
        <v>0.0163</v>
      </c>
      <c r="X112" s="14" t="str">
        <f>IFERROR(INDEX('코드표'!$B$2:$B$500,MATCH(TRIM(I112),'코드표'!$A$2:$A$500,0)),"미분류")</f>
        <v>OA</v>
      </c>
      <c r="Y112" s="14">
        <f>IFERROR(IF(--L112&gt;0,1,0),"")</f>
        <v>0</v>
      </c>
    </row>
    <row r="113" spans="1:25">
      <c r="A113" t="s">
        <v>654</v>
      </c>
      <c r="B113" t="s">
        <v>655</v>
      </c>
      <c r="C113" t="s">
        <v>188</v>
      </c>
      <c r="D113" t="s">
        <v>189</v>
      </c>
      <c r="E113" t="s">
        <v>190</v>
      </c>
      <c r="F113" t="s">
        <v>128</v>
      </c>
      <c r="G113" t="s">
        <v>89</v>
      </c>
      <c r="H113" t="s">
        <v>90</v>
      </c>
      <c r="I113" t="s">
        <v>550</v>
      </c>
      <c r="J113">
        <v>24020</v>
      </c>
      <c r="K113" t="s">
        <v>105</v>
      </c>
      <c r="L113">
        <v>0</v>
      </c>
      <c r="M113">
        <v>0</v>
      </c>
      <c r="N113">
        <v>40</v>
      </c>
      <c r="O113" t="s">
        <v>93</v>
      </c>
      <c r="P113" t="s">
        <v>131</v>
      </c>
      <c r="Q113" t="s">
        <v>656</v>
      </c>
      <c r="R113" t="s">
        <v>657</v>
      </c>
      <c r="S113">
        <v>75418000</v>
      </c>
      <c r="T113">
        <v>1.7775</v>
      </c>
      <c r="U113">
        <v>0.9836</v>
      </c>
      <c r="V113">
        <v>74.51000000000001</v>
      </c>
      <c r="W113">
        <v>0.0654</v>
      </c>
      <c r="X113" s="14" t="str">
        <f>IFERROR(INDEX('코드표'!$B$2:$B$500,MATCH(TRIM(I113),'코드표'!$A$2:$A$500,0)),"미분류")</f>
        <v>OA</v>
      </c>
      <c r="Y113" s="14">
        <f>IFERROR(IF(--L113&gt;0,1,0),"")</f>
        <v>0</v>
      </c>
    </row>
    <row r="114" spans="1:25">
      <c r="A114" t="s">
        <v>658</v>
      </c>
      <c r="B114" t="s">
        <v>659</v>
      </c>
      <c r="C114" t="s">
        <v>196</v>
      </c>
      <c r="D114" t="s">
        <v>197</v>
      </c>
      <c r="E114" t="s">
        <v>101</v>
      </c>
      <c r="F114" t="s">
        <v>164</v>
      </c>
      <c r="G114" t="s">
        <v>89</v>
      </c>
      <c r="H114" t="s">
        <v>90</v>
      </c>
      <c r="I114" t="s">
        <v>660</v>
      </c>
      <c r="J114">
        <v>32470</v>
      </c>
      <c r="K114" t="s">
        <v>105</v>
      </c>
      <c r="L114">
        <v>0</v>
      </c>
      <c r="M114">
        <v>0</v>
      </c>
      <c r="N114">
        <v>76</v>
      </c>
      <c r="O114">
        <v>2</v>
      </c>
      <c r="P114" t="s">
        <v>94</v>
      </c>
      <c r="Q114" t="s">
        <v>661</v>
      </c>
      <c r="R114" t="s">
        <v>662</v>
      </c>
      <c r="S114">
        <v>60015000</v>
      </c>
      <c r="T114">
        <v>0.6482</v>
      </c>
      <c r="U114">
        <v>2.2924</v>
      </c>
      <c r="V114">
        <v>70.48999999999999</v>
      </c>
      <c r="W114">
        <v>-0.042</v>
      </c>
      <c r="X114" s="14" t="str">
        <f>IFERROR(INDEX('코드표'!$B$2:$B$500,MATCH(TRIM(I114),'코드표'!$A$2:$A$500,0)),"미분류")</f>
        <v>DA</v>
      </c>
      <c r="Y114" s="14">
        <f>IFERROR(IF(--L114&gt;0,1,0),"")</f>
        <v>0</v>
      </c>
    </row>
    <row r="115" spans="1:25">
      <c r="A115" t="s">
        <v>663</v>
      </c>
      <c r="B115" t="s">
        <v>664</v>
      </c>
      <c r="C115" t="s">
        <v>281</v>
      </c>
      <c r="D115" t="s">
        <v>282</v>
      </c>
      <c r="E115" t="s">
        <v>190</v>
      </c>
      <c r="F115" t="s">
        <v>102</v>
      </c>
      <c r="G115" t="s">
        <v>89</v>
      </c>
      <c r="H115" t="s">
        <v>90</v>
      </c>
      <c r="I115" t="s">
        <v>324</v>
      </c>
      <c r="J115">
        <v>0</v>
      </c>
      <c r="K115" t="s">
        <v>105</v>
      </c>
      <c r="L115">
        <v>0</v>
      </c>
      <c r="M115">
        <v>0</v>
      </c>
      <c r="N115">
        <v>78</v>
      </c>
      <c r="O115">
        <v>3</v>
      </c>
      <c r="P115" t="s">
        <v>94</v>
      </c>
      <c r="Q115" t="s">
        <v>665</v>
      </c>
      <c r="R115" t="s">
        <v>666</v>
      </c>
      <c r="S115">
        <v>6459000</v>
      </c>
      <c r="U115">
        <v>1.7202</v>
      </c>
      <c r="W115">
        <v>0.1288</v>
      </c>
      <c r="X115" s="14" t="str">
        <f>IFERROR(INDEX('코드표'!$B$2:$B$500,MATCH(TRIM(I115),'코드표'!$A$2:$A$500,0)),"미분류")</f>
        <v>TT_SPLIT_30_70</v>
      </c>
      <c r="Y115" s="14">
        <f>IFERROR(IF(--L115&gt;0,1,0),"")</f>
        <v>0</v>
      </c>
    </row>
    <row r="116" spans="1:25">
      <c r="A116" t="s">
        <v>667</v>
      </c>
      <c r="B116" t="s">
        <v>668</v>
      </c>
      <c r="C116" t="s">
        <v>262</v>
      </c>
      <c r="D116" t="s">
        <v>263</v>
      </c>
      <c r="E116" t="s">
        <v>101</v>
      </c>
      <c r="F116" t="s">
        <v>128</v>
      </c>
      <c r="G116" t="s">
        <v>89</v>
      </c>
      <c r="H116" t="s">
        <v>90</v>
      </c>
      <c r="I116" t="s">
        <v>143</v>
      </c>
      <c r="J116">
        <v>1417000</v>
      </c>
      <c r="K116" t="s">
        <v>265</v>
      </c>
      <c r="L116">
        <v>0</v>
      </c>
      <c r="M116">
        <v>0</v>
      </c>
      <c r="N116">
        <v>76</v>
      </c>
      <c r="O116" t="s">
        <v>93</v>
      </c>
      <c r="P116" t="s">
        <v>131</v>
      </c>
      <c r="Q116" t="s">
        <v>669</v>
      </c>
      <c r="R116" t="s">
        <v>670</v>
      </c>
      <c r="S116">
        <v>34625000</v>
      </c>
      <c r="T116">
        <v>1.8811</v>
      </c>
      <c r="U116">
        <v>0.6644</v>
      </c>
      <c r="V116">
        <v>43.3</v>
      </c>
      <c r="W116">
        <v>0.1255</v>
      </c>
      <c r="X116" s="14" t="str">
        <f>IFERROR(INDEX('코드표'!$B$2:$B$500,MATCH(TRIM(I116),'코드표'!$A$2:$A$500,0)),"미분류")</f>
        <v>OA</v>
      </c>
      <c r="Y116" s="14">
        <f>IFERROR(IF(--L116&gt;0,1,0),"")</f>
        <v>0</v>
      </c>
    </row>
    <row r="117" spans="1:25">
      <c r="A117" t="s">
        <v>671</v>
      </c>
      <c r="B117" t="s">
        <v>672</v>
      </c>
      <c r="C117" t="s">
        <v>262</v>
      </c>
      <c r="D117" t="s">
        <v>263</v>
      </c>
      <c r="E117" t="s">
        <v>101</v>
      </c>
      <c r="F117" t="s">
        <v>102</v>
      </c>
      <c r="G117" t="s">
        <v>89</v>
      </c>
      <c r="H117" t="s">
        <v>90</v>
      </c>
      <c r="I117" t="s">
        <v>413</v>
      </c>
      <c r="J117">
        <v>0</v>
      </c>
      <c r="K117" t="s">
        <v>265</v>
      </c>
      <c r="L117">
        <v>0</v>
      </c>
      <c r="M117">
        <v>0</v>
      </c>
      <c r="N117">
        <v>76</v>
      </c>
      <c r="O117" t="s">
        <v>93</v>
      </c>
      <c r="P117" t="s">
        <v>94</v>
      </c>
      <c r="Q117" t="s">
        <v>673</v>
      </c>
      <c r="R117" t="s">
        <v>674</v>
      </c>
      <c r="S117">
        <v>19218000</v>
      </c>
      <c r="T117">
        <v>0.9505</v>
      </c>
      <c r="U117">
        <v>0.9015</v>
      </c>
      <c r="V117">
        <v>86.68000000000001</v>
      </c>
      <c r="W117">
        <v>0.0157</v>
      </c>
      <c r="X117" s="14" t="str">
        <f>IFERROR(INDEX('코드표'!$B$2:$B$500,MATCH(TRIM(I117),'코드표'!$A$2:$A$500,0)),"미분류")</f>
        <v>OA</v>
      </c>
      <c r="Y117" s="14">
        <f>IFERROR(IF(--L117&gt;0,1,0),"")</f>
        <v>0</v>
      </c>
    </row>
    <row r="118" spans="1:25">
      <c r="A118" t="s">
        <v>675</v>
      </c>
      <c r="B118" t="s">
        <v>676</v>
      </c>
      <c r="C118" t="s">
        <v>99</v>
      </c>
      <c r="D118" t="s">
        <v>100</v>
      </c>
      <c r="E118" t="s">
        <v>101</v>
      </c>
      <c r="F118" t="s">
        <v>88</v>
      </c>
      <c r="G118" t="s">
        <v>89</v>
      </c>
      <c r="H118" t="s">
        <v>90</v>
      </c>
      <c r="I118" t="s">
        <v>677</v>
      </c>
      <c r="J118">
        <v>77900</v>
      </c>
      <c r="K118" t="s">
        <v>156</v>
      </c>
      <c r="L118">
        <v>0</v>
      </c>
      <c r="M118">
        <v>0</v>
      </c>
      <c r="N118">
        <v>79</v>
      </c>
      <c r="O118">
        <v>2</v>
      </c>
      <c r="P118" t="s">
        <v>131</v>
      </c>
      <c r="Q118" t="s">
        <v>678</v>
      </c>
      <c r="R118" t="s">
        <v>679</v>
      </c>
      <c r="S118">
        <v>12269000</v>
      </c>
      <c r="T118">
        <v>1.0347</v>
      </c>
      <c r="U118">
        <v>1.5276</v>
      </c>
      <c r="V118">
        <v>77.77</v>
      </c>
      <c r="W118">
        <v>0.0469</v>
      </c>
      <c r="X118" s="14" t="str">
        <f>IFERROR(INDEX('코드표'!$B$2:$B$500,MATCH(TRIM(I118),'코드표'!$A$2:$A$500,0)),"미분류")</f>
        <v>DA</v>
      </c>
      <c r="Y118" s="14">
        <f>IFERROR(IF(--L118&gt;0,1,0),"")</f>
        <v>0</v>
      </c>
    </row>
    <row r="119" spans="1:25">
      <c r="A119" t="s">
        <v>680</v>
      </c>
      <c r="B119" t="s">
        <v>681</v>
      </c>
      <c r="C119" t="s">
        <v>619</v>
      </c>
      <c r="D119" t="s">
        <v>620</v>
      </c>
      <c r="E119" t="s">
        <v>87</v>
      </c>
      <c r="F119" t="s">
        <v>128</v>
      </c>
      <c r="G119" t="s">
        <v>89</v>
      </c>
      <c r="H119" t="s">
        <v>90</v>
      </c>
      <c r="I119" t="s">
        <v>283</v>
      </c>
      <c r="J119">
        <v>1590</v>
      </c>
      <c r="K119" t="s">
        <v>105</v>
      </c>
      <c r="L119">
        <v>0</v>
      </c>
      <c r="M119">
        <v>0</v>
      </c>
      <c r="N119">
        <v>79</v>
      </c>
      <c r="O119" t="s">
        <v>93</v>
      </c>
      <c r="P119" t="s">
        <v>131</v>
      </c>
      <c r="Q119" t="s">
        <v>682</v>
      </c>
      <c r="R119" t="s">
        <v>683</v>
      </c>
      <c r="S119">
        <v>14393000</v>
      </c>
      <c r="T119">
        <v>2.5861</v>
      </c>
      <c r="U119">
        <v>0.3022</v>
      </c>
      <c r="W119">
        <v>0.1093</v>
      </c>
      <c r="X119" s="14" t="str">
        <f>IFERROR(INDEX('코드표'!$B$2:$B$500,MATCH(TRIM(I119),'코드표'!$A$2:$A$500,0)),"미분류")</f>
        <v>OA</v>
      </c>
      <c r="Y119" s="14">
        <f>IFERROR(IF(--L119&gt;0,1,0),"")</f>
        <v>0</v>
      </c>
    </row>
    <row r="120" spans="1:25">
      <c r="A120" t="s">
        <v>684</v>
      </c>
      <c r="B120" t="s">
        <v>685</v>
      </c>
      <c r="C120" t="s">
        <v>99</v>
      </c>
      <c r="D120" t="s">
        <v>100</v>
      </c>
      <c r="E120" t="s">
        <v>101</v>
      </c>
      <c r="F120" t="s">
        <v>102</v>
      </c>
      <c r="G120" t="s">
        <v>89</v>
      </c>
      <c r="H120" t="s">
        <v>90</v>
      </c>
      <c r="I120" t="s">
        <v>494</v>
      </c>
      <c r="J120">
        <v>13050</v>
      </c>
      <c r="K120" t="s">
        <v>130</v>
      </c>
      <c r="L120">
        <v>0</v>
      </c>
      <c r="M120">
        <v>0</v>
      </c>
      <c r="N120">
        <v>80</v>
      </c>
      <c r="O120">
        <v>2</v>
      </c>
      <c r="P120" t="s">
        <v>131</v>
      </c>
      <c r="Q120" t="s">
        <v>686</v>
      </c>
      <c r="R120" t="s">
        <v>687</v>
      </c>
      <c r="S120">
        <v>10461000</v>
      </c>
      <c r="T120">
        <v>1.4408</v>
      </c>
      <c r="U120">
        <v>1.135</v>
      </c>
      <c r="V120">
        <v>86.78</v>
      </c>
      <c r="W120">
        <v>0.0209</v>
      </c>
      <c r="X120" s="14" t="str">
        <f>IFERROR(INDEX('코드표'!$B$2:$B$500,MATCH(TRIM(I120),'코드표'!$A$2:$A$500,0)),"미분류")</f>
        <v>OA</v>
      </c>
      <c r="Y120" s="14">
        <f>IFERROR(IF(--L120&gt;0,1,0),"")</f>
        <v>0</v>
      </c>
    </row>
    <row r="121" spans="1:25">
      <c r="A121" t="s">
        <v>688</v>
      </c>
      <c r="B121" t="s">
        <v>689</v>
      </c>
      <c r="C121" t="s">
        <v>690</v>
      </c>
      <c r="D121" t="s">
        <v>189</v>
      </c>
      <c r="E121" t="s">
        <v>190</v>
      </c>
      <c r="F121" t="s">
        <v>102</v>
      </c>
      <c r="G121" t="s">
        <v>89</v>
      </c>
      <c r="H121" t="s">
        <v>90</v>
      </c>
      <c r="I121" t="s">
        <v>215</v>
      </c>
      <c r="J121">
        <v>20060</v>
      </c>
      <c r="K121" t="s">
        <v>105</v>
      </c>
      <c r="L121">
        <v>27</v>
      </c>
      <c r="M121">
        <v>20060</v>
      </c>
      <c r="N121">
        <v>77</v>
      </c>
      <c r="O121" t="s">
        <v>93</v>
      </c>
      <c r="P121" t="s">
        <v>131</v>
      </c>
      <c r="Q121" t="s">
        <v>691</v>
      </c>
      <c r="R121" t="s">
        <v>692</v>
      </c>
      <c r="S121">
        <v>34335000</v>
      </c>
      <c r="T121">
        <v>1.9993</v>
      </c>
      <c r="V121">
        <v>64.90000000000001</v>
      </c>
      <c r="W121">
        <v>0.0672</v>
      </c>
      <c r="X121" s="14" t="str">
        <f>IFERROR(INDEX('코드표'!$B$2:$B$500,MATCH(TRIM(I121),'코드표'!$A$2:$A$500,0)),"미분류")</f>
        <v>DA</v>
      </c>
      <c r="Y121" s="14">
        <f>IFERROR(IF(--L121&gt;0,1,0),"")</f>
        <v>1</v>
      </c>
    </row>
    <row r="122" spans="1:25">
      <c r="A122" t="s">
        <v>693</v>
      </c>
      <c r="B122" t="s">
        <v>694</v>
      </c>
      <c r="C122" t="s">
        <v>170</v>
      </c>
      <c r="D122" t="s">
        <v>171</v>
      </c>
      <c r="E122" t="s">
        <v>112</v>
      </c>
      <c r="F122" t="s">
        <v>102</v>
      </c>
      <c r="G122" t="s">
        <v>89</v>
      </c>
      <c r="H122" t="s">
        <v>90</v>
      </c>
      <c r="I122" t="s">
        <v>314</v>
      </c>
      <c r="J122" t="s">
        <v>695</v>
      </c>
      <c r="K122" t="s">
        <v>105</v>
      </c>
      <c r="L122">
        <v>10</v>
      </c>
      <c r="M122">
        <v>21910</v>
      </c>
      <c r="N122">
        <v>80</v>
      </c>
      <c r="O122">
        <v>3</v>
      </c>
      <c r="P122" t="s">
        <v>131</v>
      </c>
      <c r="Q122" t="s">
        <v>696</v>
      </c>
      <c r="R122" t="s">
        <v>697</v>
      </c>
      <c r="S122">
        <v>37547000</v>
      </c>
      <c r="T122">
        <v>1.2532</v>
      </c>
      <c r="U122">
        <v>2.2531</v>
      </c>
      <c r="V122">
        <v>48.3</v>
      </c>
      <c r="W122">
        <v>0.0454</v>
      </c>
      <c r="X122" s="14" t="str">
        <f>IFERROR(INDEX('코드표'!$B$2:$B$500,MATCH(TRIM(I122),'코드표'!$A$2:$A$500,0)),"미분류")</f>
        <v>DA</v>
      </c>
      <c r="Y122" s="14">
        <f>IFERROR(IF(--L122&gt;0,1,0),"")</f>
        <v>1</v>
      </c>
    </row>
    <row r="123" spans="1:25">
      <c r="A123" t="s">
        <v>671</v>
      </c>
      <c r="B123" t="s">
        <v>698</v>
      </c>
      <c r="C123" t="s">
        <v>262</v>
      </c>
      <c r="D123" t="s">
        <v>263</v>
      </c>
      <c r="E123" t="s">
        <v>101</v>
      </c>
      <c r="F123" t="s">
        <v>102</v>
      </c>
      <c r="G123" t="s">
        <v>89</v>
      </c>
      <c r="H123" t="s">
        <v>90</v>
      </c>
      <c r="I123" t="s">
        <v>413</v>
      </c>
      <c r="J123">
        <v>0</v>
      </c>
      <c r="K123" t="s">
        <v>265</v>
      </c>
      <c r="L123">
        <v>0</v>
      </c>
      <c r="M123">
        <v>0</v>
      </c>
      <c r="N123">
        <v>76</v>
      </c>
      <c r="O123" t="s">
        <v>93</v>
      </c>
      <c r="P123" t="s">
        <v>94</v>
      </c>
      <c r="Q123" t="s">
        <v>673</v>
      </c>
      <c r="R123" t="s">
        <v>674</v>
      </c>
      <c r="S123">
        <v>19218000</v>
      </c>
      <c r="T123">
        <v>0.9505</v>
      </c>
      <c r="U123">
        <v>0.9015</v>
      </c>
      <c r="V123">
        <v>86.68000000000001</v>
      </c>
      <c r="W123">
        <v>0.0157</v>
      </c>
      <c r="X123" s="14" t="str">
        <f>IFERROR(INDEX('코드표'!$B$2:$B$500,MATCH(TRIM(I123),'코드표'!$A$2:$A$500,0)),"미분류")</f>
        <v>OA</v>
      </c>
      <c r="Y123" s="14">
        <f>IFERROR(IF(--L123&gt;0,1,0),"")</f>
        <v>0</v>
      </c>
    </row>
    <row r="124" spans="1:25">
      <c r="A124" t="s">
        <v>699</v>
      </c>
      <c r="B124" t="s">
        <v>700</v>
      </c>
      <c r="C124" t="s">
        <v>262</v>
      </c>
      <c r="D124" t="s">
        <v>263</v>
      </c>
      <c r="E124" t="s">
        <v>101</v>
      </c>
      <c r="F124" t="s">
        <v>102</v>
      </c>
      <c r="G124" t="s">
        <v>89</v>
      </c>
      <c r="H124" t="s">
        <v>90</v>
      </c>
      <c r="I124" t="s">
        <v>701</v>
      </c>
      <c r="J124">
        <v>1805000</v>
      </c>
      <c r="K124" t="s">
        <v>265</v>
      </c>
      <c r="L124">
        <v>0</v>
      </c>
      <c r="M124">
        <v>0</v>
      </c>
      <c r="N124">
        <v>75</v>
      </c>
      <c r="O124" t="s">
        <v>93</v>
      </c>
      <c r="P124" t="s">
        <v>94</v>
      </c>
      <c r="Q124" t="s">
        <v>702</v>
      </c>
      <c r="R124" t="s">
        <v>703</v>
      </c>
      <c r="S124">
        <v>7917000</v>
      </c>
      <c r="T124">
        <v>1.7948</v>
      </c>
      <c r="U124">
        <v>1.3761</v>
      </c>
      <c r="V124">
        <v>57.68</v>
      </c>
      <c r="W124">
        <v>0.0573</v>
      </c>
      <c r="X124" s="14" t="str">
        <f>IFERROR(INDEX('코드표'!$B$2:$B$500,MATCH(TRIM(I124),'코드표'!$A$2:$A$500,0)),"미분류")</f>
        <v>OA</v>
      </c>
      <c r="Y124" s="14">
        <f>IFERROR(IF(--L124&gt;0,1,0),"")</f>
        <v>0</v>
      </c>
    </row>
    <row r="125" spans="1:25">
      <c r="A125" t="s">
        <v>704</v>
      </c>
      <c r="B125" t="s">
        <v>705</v>
      </c>
      <c r="C125" t="s">
        <v>170</v>
      </c>
      <c r="D125" t="s">
        <v>171</v>
      </c>
      <c r="E125" t="s">
        <v>112</v>
      </c>
      <c r="F125" t="s">
        <v>164</v>
      </c>
      <c r="G125" t="s">
        <v>89</v>
      </c>
      <c r="H125" t="s">
        <v>90</v>
      </c>
      <c r="I125" t="s">
        <v>215</v>
      </c>
      <c r="J125">
        <v>92040</v>
      </c>
      <c r="K125" t="s">
        <v>105</v>
      </c>
      <c r="L125">
        <v>0</v>
      </c>
      <c r="M125">
        <v>0</v>
      </c>
      <c r="N125">
        <v>71</v>
      </c>
      <c r="O125">
        <v>3</v>
      </c>
      <c r="P125" t="s">
        <v>131</v>
      </c>
      <c r="Q125" t="s">
        <v>706</v>
      </c>
      <c r="R125" t="s">
        <v>707</v>
      </c>
      <c r="S125">
        <v>61717000</v>
      </c>
      <c r="T125">
        <v>1.1298</v>
      </c>
      <c r="U125">
        <v>1.1743</v>
      </c>
      <c r="W125">
        <v>0.1102</v>
      </c>
      <c r="X125" s="14" t="str">
        <f>IFERROR(INDEX('코드표'!$B$2:$B$500,MATCH(TRIM(I125),'코드표'!$A$2:$A$500,0)),"미분류")</f>
        <v>DA</v>
      </c>
      <c r="Y125" s="14">
        <f>IFERROR(IF(--L125&gt;0,1,0),"")</f>
        <v>0</v>
      </c>
    </row>
    <row r="126" spans="1:25">
      <c r="A126" t="s">
        <v>708</v>
      </c>
      <c r="B126" t="s">
        <v>709</v>
      </c>
      <c r="C126" t="s">
        <v>262</v>
      </c>
      <c r="D126" t="s">
        <v>263</v>
      </c>
      <c r="E126" t="s">
        <v>101</v>
      </c>
      <c r="F126" t="s">
        <v>164</v>
      </c>
      <c r="G126" t="s">
        <v>89</v>
      </c>
      <c r="H126" t="s">
        <v>90</v>
      </c>
      <c r="I126" t="s">
        <v>614</v>
      </c>
      <c r="J126">
        <v>2059000</v>
      </c>
      <c r="K126" t="s">
        <v>265</v>
      </c>
      <c r="L126">
        <v>0</v>
      </c>
      <c r="M126">
        <v>0</v>
      </c>
      <c r="O126" t="s">
        <v>93</v>
      </c>
      <c r="P126" t="s">
        <v>94</v>
      </c>
      <c r="Q126" t="s">
        <v>710</v>
      </c>
      <c r="R126" t="s">
        <v>711</v>
      </c>
      <c r="S126">
        <v>105764000</v>
      </c>
      <c r="V126">
        <v>84.01000000000001</v>
      </c>
      <c r="W126">
        <v>0.07729999999999999</v>
      </c>
      <c r="X126" s="14" t="str">
        <f>IFERROR(INDEX('코드표'!$B$2:$B$500,MATCH(TRIM(I126),'코드표'!$A$2:$A$500,0)),"미분류")</f>
        <v>미분류</v>
      </c>
      <c r="Y126" s="14">
        <f>IFERROR(IF(--L126&gt;0,1,0),"")</f>
        <v>0</v>
      </c>
    </row>
    <row r="127" spans="1:25">
      <c r="A127" t="s">
        <v>712</v>
      </c>
      <c r="B127" t="s">
        <v>713</v>
      </c>
      <c r="C127" t="s">
        <v>161</v>
      </c>
      <c r="D127" t="s">
        <v>162</v>
      </c>
      <c r="E127" t="s">
        <v>163</v>
      </c>
      <c r="F127" t="s">
        <v>102</v>
      </c>
      <c r="G127" t="s">
        <v>89</v>
      </c>
      <c r="H127" t="s">
        <v>90</v>
      </c>
      <c r="I127" t="s">
        <v>283</v>
      </c>
      <c r="J127">
        <v>50150</v>
      </c>
      <c r="K127" t="s">
        <v>92</v>
      </c>
      <c r="L127">
        <v>27</v>
      </c>
      <c r="M127">
        <v>12840</v>
      </c>
      <c r="N127">
        <v>75</v>
      </c>
      <c r="O127" t="s">
        <v>93</v>
      </c>
      <c r="P127" t="s">
        <v>131</v>
      </c>
      <c r="Q127" t="s">
        <v>714</v>
      </c>
      <c r="R127" t="s">
        <v>715</v>
      </c>
      <c r="S127">
        <v>90764000</v>
      </c>
      <c r="T127">
        <v>1.5381</v>
      </c>
      <c r="V127">
        <v>54.1</v>
      </c>
      <c r="W127">
        <v>0.1069</v>
      </c>
      <c r="X127" s="14" t="str">
        <f>IFERROR(INDEX('코드표'!$B$2:$B$500,MATCH(TRIM(I127),'코드표'!$A$2:$A$500,0)),"미분류")</f>
        <v>OA</v>
      </c>
      <c r="Y127" s="14">
        <f>IFERROR(IF(--L127&gt;0,1,0),"")</f>
        <v>1</v>
      </c>
    </row>
    <row r="128" spans="1:25">
      <c r="A128" t="s">
        <v>716</v>
      </c>
      <c r="B128" t="s">
        <v>717</v>
      </c>
      <c r="C128" t="s">
        <v>99</v>
      </c>
      <c r="D128" t="s">
        <v>100</v>
      </c>
      <c r="E128" t="s">
        <v>101</v>
      </c>
      <c r="F128" t="s">
        <v>102</v>
      </c>
      <c r="G128" t="s">
        <v>89</v>
      </c>
      <c r="H128" t="s">
        <v>90</v>
      </c>
      <c r="I128" t="s">
        <v>283</v>
      </c>
      <c r="J128">
        <v>115200</v>
      </c>
      <c r="K128" t="s">
        <v>156</v>
      </c>
      <c r="L128">
        <v>0</v>
      </c>
      <c r="M128">
        <v>0</v>
      </c>
      <c r="N128">
        <v>81</v>
      </c>
      <c r="O128">
        <v>2</v>
      </c>
      <c r="P128" t="s">
        <v>94</v>
      </c>
      <c r="Q128" t="s">
        <v>718</v>
      </c>
      <c r="R128" t="s">
        <v>719</v>
      </c>
      <c r="S128">
        <v>45951000</v>
      </c>
      <c r="T128">
        <v>1.7448</v>
      </c>
      <c r="U128">
        <v>1.1495</v>
      </c>
      <c r="V128">
        <v>62.16</v>
      </c>
      <c r="W128">
        <v>0.055</v>
      </c>
      <c r="X128" s="14" t="str">
        <f>IFERROR(INDEX('코드표'!$B$2:$B$500,MATCH(TRIM(I128),'코드표'!$A$2:$A$500,0)),"미분류")</f>
        <v>OA</v>
      </c>
      <c r="Y128" s="14">
        <f>IFERROR(IF(--L128&gt;0,1,0),"")</f>
        <v>0</v>
      </c>
    </row>
    <row r="129" spans="1:25">
      <c r="A129" t="s">
        <v>720</v>
      </c>
      <c r="B129" t="s">
        <v>721</v>
      </c>
      <c r="C129" t="s">
        <v>281</v>
      </c>
      <c r="D129" t="s">
        <v>282</v>
      </c>
      <c r="E129" t="s">
        <v>190</v>
      </c>
      <c r="F129" t="s">
        <v>128</v>
      </c>
      <c r="G129" t="s">
        <v>89</v>
      </c>
      <c r="H129" t="s">
        <v>90</v>
      </c>
      <c r="I129" t="s">
        <v>722</v>
      </c>
      <c r="J129">
        <v>0</v>
      </c>
      <c r="K129" t="s">
        <v>105</v>
      </c>
      <c r="L129">
        <v>0</v>
      </c>
      <c r="M129">
        <v>0</v>
      </c>
      <c r="N129">
        <v>81</v>
      </c>
      <c r="O129">
        <v>3</v>
      </c>
      <c r="P129" t="s">
        <v>131</v>
      </c>
      <c r="Q129" t="s">
        <v>723</v>
      </c>
      <c r="R129" t="s">
        <v>724</v>
      </c>
      <c r="S129">
        <v>57889000</v>
      </c>
      <c r="W129">
        <v>0.0192</v>
      </c>
      <c r="X129" s="14" t="str">
        <f>IFERROR(INDEX('코드표'!$B$2:$B$500,MATCH(TRIM(I129),'코드표'!$A$2:$A$500,0)),"미분류")</f>
        <v>DA</v>
      </c>
      <c r="Y129" s="14">
        <f>IFERROR(IF(--L129&gt;0,1,0),"")</f>
        <v>0</v>
      </c>
    </row>
    <row r="130" spans="1:25">
      <c r="A130" t="s">
        <v>725</v>
      </c>
      <c r="B130" t="s">
        <v>726</v>
      </c>
      <c r="C130" t="s">
        <v>619</v>
      </c>
      <c r="D130" t="s">
        <v>620</v>
      </c>
      <c r="E130" t="s">
        <v>87</v>
      </c>
      <c r="F130" t="s">
        <v>102</v>
      </c>
      <c r="G130" t="s">
        <v>89</v>
      </c>
      <c r="H130" t="s">
        <v>90</v>
      </c>
      <c r="I130" t="s">
        <v>727</v>
      </c>
      <c r="J130">
        <v>0</v>
      </c>
      <c r="K130" t="s">
        <v>105</v>
      </c>
      <c r="L130">
        <v>0</v>
      </c>
      <c r="M130">
        <v>0</v>
      </c>
      <c r="N130">
        <v>82</v>
      </c>
      <c r="O130" t="s">
        <v>93</v>
      </c>
      <c r="P130" t="s">
        <v>94</v>
      </c>
      <c r="Q130" t="s">
        <v>728</v>
      </c>
      <c r="R130" t="s">
        <v>729</v>
      </c>
      <c r="S130">
        <v>70376000</v>
      </c>
      <c r="U130">
        <v>1.0435</v>
      </c>
      <c r="V130">
        <v>76.97</v>
      </c>
      <c r="W130">
        <v>0.0853</v>
      </c>
      <c r="X130" s="14" t="str">
        <f>IFERROR(INDEX('코드표'!$B$2:$B$500,MATCH(TRIM(I130),'코드표'!$A$2:$A$500,0)),"미분류")</f>
        <v>미분류</v>
      </c>
      <c r="Y130" s="14">
        <f>IFERROR(IF(--L130&gt;0,1,0),"")</f>
        <v>0</v>
      </c>
    </row>
    <row r="131" spans="1:25">
      <c r="A131" t="s">
        <v>730</v>
      </c>
      <c r="B131" t="s">
        <v>731</v>
      </c>
      <c r="C131" t="s">
        <v>126</v>
      </c>
      <c r="D131" t="s">
        <v>127</v>
      </c>
      <c r="E131" t="s">
        <v>112</v>
      </c>
      <c r="F131" t="s">
        <v>102</v>
      </c>
      <c r="G131" t="s">
        <v>89</v>
      </c>
      <c r="H131" t="s">
        <v>90</v>
      </c>
      <c r="I131" t="s">
        <v>732</v>
      </c>
      <c r="J131">
        <v>80140</v>
      </c>
      <c r="K131" t="s">
        <v>105</v>
      </c>
      <c r="L131">
        <v>0</v>
      </c>
      <c r="M131">
        <v>0</v>
      </c>
      <c r="N131">
        <v>78</v>
      </c>
      <c r="O131">
        <v>3</v>
      </c>
      <c r="P131" t="s">
        <v>94</v>
      </c>
      <c r="Q131" t="s">
        <v>733</v>
      </c>
      <c r="R131" t="s">
        <v>734</v>
      </c>
      <c r="S131">
        <v>501391000</v>
      </c>
      <c r="T131">
        <v>0.7298</v>
      </c>
      <c r="U131">
        <v>4.897</v>
      </c>
      <c r="X131" s="14" t="str">
        <f>IFERROR(INDEX('코드표'!$B$2:$B$500,MATCH(TRIM(I131),'코드표'!$A$2:$A$500,0)),"미분류")</f>
        <v>DP</v>
      </c>
      <c r="Y131" s="14">
        <f>IFERROR(IF(--L131&gt;0,1,0),"")</f>
        <v>0</v>
      </c>
    </row>
    <row r="132" spans="1:25">
      <c r="A132" t="s">
        <v>735</v>
      </c>
      <c r="B132" t="s">
        <v>736</v>
      </c>
      <c r="C132" t="s">
        <v>619</v>
      </c>
      <c r="D132" t="s">
        <v>620</v>
      </c>
      <c r="E132" t="s">
        <v>87</v>
      </c>
      <c r="F132" t="s">
        <v>102</v>
      </c>
      <c r="G132" t="s">
        <v>89</v>
      </c>
      <c r="H132" t="s">
        <v>90</v>
      </c>
      <c r="I132" t="s">
        <v>143</v>
      </c>
      <c r="J132">
        <v>82360</v>
      </c>
      <c r="K132" t="s">
        <v>105</v>
      </c>
      <c r="L132">
        <v>0</v>
      </c>
      <c r="M132">
        <v>0</v>
      </c>
      <c r="N132">
        <v>77</v>
      </c>
      <c r="O132" t="s">
        <v>93</v>
      </c>
      <c r="P132" t="s">
        <v>94</v>
      </c>
      <c r="Q132" t="s">
        <v>737</v>
      </c>
      <c r="R132" t="s">
        <v>738</v>
      </c>
      <c r="S132">
        <v>370973000</v>
      </c>
      <c r="T132">
        <v>1.6567</v>
      </c>
      <c r="U132">
        <v>0.6488</v>
      </c>
      <c r="W132">
        <v>0.0501</v>
      </c>
      <c r="X132" s="14" t="str">
        <f>IFERROR(INDEX('코드표'!$B$2:$B$500,MATCH(TRIM(I132),'코드표'!$A$2:$A$500,0)),"미분류")</f>
        <v>OA</v>
      </c>
      <c r="Y132" s="14">
        <f>IFERROR(IF(--L132&gt;0,1,0),"")</f>
        <v>0</v>
      </c>
    </row>
    <row r="133" spans="1:25">
      <c r="A133" t="s">
        <v>739</v>
      </c>
      <c r="B133" t="s">
        <v>740</v>
      </c>
      <c r="C133" t="s">
        <v>99</v>
      </c>
      <c r="D133" t="s">
        <v>100</v>
      </c>
      <c r="E133" t="s">
        <v>101</v>
      </c>
      <c r="F133" t="s">
        <v>128</v>
      </c>
      <c r="G133" t="s">
        <v>89</v>
      </c>
      <c r="H133" t="s">
        <v>90</v>
      </c>
      <c r="I133" t="s">
        <v>423</v>
      </c>
      <c r="J133">
        <v>0</v>
      </c>
      <c r="K133" t="s">
        <v>105</v>
      </c>
      <c r="L133">
        <v>0</v>
      </c>
      <c r="M133">
        <v>0</v>
      </c>
      <c r="N133">
        <v>75</v>
      </c>
      <c r="O133">
        <v>2</v>
      </c>
      <c r="P133" t="s">
        <v>131</v>
      </c>
      <c r="Q133" t="s">
        <v>741</v>
      </c>
      <c r="R133" t="s">
        <v>742</v>
      </c>
      <c r="S133">
        <v>15528000</v>
      </c>
      <c r="U133">
        <v>3.7026</v>
      </c>
      <c r="V133">
        <v>109.77</v>
      </c>
      <c r="W133">
        <v>-0.0388</v>
      </c>
      <c r="X133" s="14" t="str">
        <f>IFERROR(INDEX('코드표'!$B$2:$B$500,MATCH(TRIM(I133),'코드표'!$A$2:$A$500,0)),"미분류")</f>
        <v>OA</v>
      </c>
      <c r="Y133" s="14">
        <f>IFERROR(IF(--L133&gt;0,1,0),"")</f>
        <v>0</v>
      </c>
    </row>
    <row r="134" spans="1:25">
      <c r="A134" t="s">
        <v>743</v>
      </c>
      <c r="B134" t="s">
        <v>744</v>
      </c>
      <c r="C134" t="s">
        <v>745</v>
      </c>
      <c r="D134" t="s">
        <v>275</v>
      </c>
      <c r="E134" t="s">
        <v>163</v>
      </c>
      <c r="F134" t="s">
        <v>128</v>
      </c>
      <c r="G134" t="s">
        <v>89</v>
      </c>
      <c r="H134" t="s">
        <v>90</v>
      </c>
      <c r="I134" t="s">
        <v>746</v>
      </c>
      <c r="J134">
        <v>0</v>
      </c>
      <c r="K134" t="s">
        <v>105</v>
      </c>
      <c r="L134">
        <v>0</v>
      </c>
      <c r="M134">
        <v>0</v>
      </c>
      <c r="O134">
        <v>5</v>
      </c>
      <c r="P134" t="s">
        <v>94</v>
      </c>
      <c r="Q134" t="s">
        <v>747</v>
      </c>
      <c r="R134" t="s">
        <v>748</v>
      </c>
      <c r="S134">
        <v>7783000</v>
      </c>
      <c r="T134">
        <v>1.1882</v>
      </c>
      <c r="U134">
        <v>4.7383</v>
      </c>
      <c r="X134" s="14" t="str">
        <f>IFERROR(INDEX('코드표'!$B$2:$B$500,MATCH(TRIM(I134),'코드표'!$A$2:$A$500,0)),"미분류")</f>
        <v>LC_SIGHT</v>
      </c>
      <c r="Y134" s="14">
        <f>IFERROR(IF(--L134&gt;0,1,0),"")</f>
        <v>0</v>
      </c>
    </row>
    <row r="135" spans="1:25">
      <c r="A135" t="s">
        <v>749</v>
      </c>
      <c r="B135" t="s">
        <v>750</v>
      </c>
      <c r="C135" t="s">
        <v>563</v>
      </c>
      <c r="D135" t="s">
        <v>564</v>
      </c>
      <c r="E135" t="s">
        <v>120</v>
      </c>
      <c r="F135" t="s">
        <v>102</v>
      </c>
      <c r="G135" t="s">
        <v>89</v>
      </c>
      <c r="H135" t="s">
        <v>90</v>
      </c>
      <c r="I135" t="s">
        <v>751</v>
      </c>
      <c r="J135">
        <v>0</v>
      </c>
      <c r="K135" t="s">
        <v>105</v>
      </c>
      <c r="L135">
        <v>0</v>
      </c>
      <c r="M135">
        <v>0</v>
      </c>
      <c r="O135">
        <v>6</v>
      </c>
      <c r="P135" t="s">
        <v>94</v>
      </c>
      <c r="Q135" t="s">
        <v>752</v>
      </c>
      <c r="R135" t="s">
        <v>753</v>
      </c>
      <c r="S135">
        <v>7096000</v>
      </c>
      <c r="T135">
        <v>1.3365</v>
      </c>
      <c r="U135">
        <v>3.6147</v>
      </c>
      <c r="V135">
        <v>87.8</v>
      </c>
      <c r="W135">
        <v>0.0613</v>
      </c>
      <c r="X135" s="14" t="str">
        <f>IFERROR(INDEX('코드표'!$B$2:$B$500,MATCH(TRIM(I135),'코드표'!$A$2:$A$500,0)),"미분류")</f>
        <v>LC_SIGHT</v>
      </c>
      <c r="Y135" s="14">
        <f>IFERROR(IF(--L135&gt;0,1,0),"")</f>
        <v>0</v>
      </c>
    </row>
    <row r="136" spans="1:25">
      <c r="A136" t="s">
        <v>754</v>
      </c>
      <c r="B136" t="s">
        <v>755</v>
      </c>
      <c r="C136" t="s">
        <v>110</v>
      </c>
      <c r="D136" t="s">
        <v>111</v>
      </c>
      <c r="E136" t="s">
        <v>112</v>
      </c>
      <c r="F136" t="s">
        <v>128</v>
      </c>
      <c r="G136" t="s">
        <v>89</v>
      </c>
      <c r="H136" t="s">
        <v>90</v>
      </c>
      <c r="I136" t="s">
        <v>283</v>
      </c>
      <c r="J136">
        <v>19970</v>
      </c>
      <c r="K136" t="s">
        <v>105</v>
      </c>
      <c r="L136">
        <v>0</v>
      </c>
      <c r="M136">
        <v>0</v>
      </c>
      <c r="N136">
        <v>83</v>
      </c>
      <c r="O136">
        <v>3</v>
      </c>
      <c r="P136" t="s">
        <v>131</v>
      </c>
      <c r="Q136" t="s">
        <v>756</v>
      </c>
      <c r="R136" t="s">
        <v>757</v>
      </c>
      <c r="S136">
        <v>43206000</v>
      </c>
      <c r="U136">
        <v>0.5756</v>
      </c>
      <c r="V136">
        <v>41.2</v>
      </c>
      <c r="X136" s="14" t="str">
        <f>IFERROR(INDEX('코드표'!$B$2:$B$500,MATCH(TRIM(I136),'코드표'!$A$2:$A$500,0)),"미분류")</f>
        <v>OA</v>
      </c>
      <c r="Y136" s="14">
        <f>IFERROR(IF(--L136&gt;0,1,0),"")</f>
        <v>0</v>
      </c>
    </row>
    <row r="137" spans="1:25">
      <c r="A137" t="s">
        <v>758</v>
      </c>
      <c r="B137" t="s">
        <v>759</v>
      </c>
      <c r="C137" t="s">
        <v>188</v>
      </c>
      <c r="D137" t="s">
        <v>189</v>
      </c>
      <c r="E137" t="s">
        <v>190</v>
      </c>
      <c r="F137" t="s">
        <v>128</v>
      </c>
      <c r="G137" t="s">
        <v>89</v>
      </c>
      <c r="H137" t="s">
        <v>90</v>
      </c>
      <c r="I137" t="s">
        <v>550</v>
      </c>
      <c r="J137">
        <v>16360</v>
      </c>
      <c r="K137" t="s">
        <v>130</v>
      </c>
      <c r="L137">
        <v>0</v>
      </c>
      <c r="M137">
        <v>0</v>
      </c>
      <c r="N137">
        <v>79</v>
      </c>
      <c r="O137" t="s">
        <v>93</v>
      </c>
      <c r="P137" t="s">
        <v>131</v>
      </c>
      <c r="Q137" t="s">
        <v>760</v>
      </c>
      <c r="R137" t="s">
        <v>761</v>
      </c>
      <c r="S137">
        <v>38565000</v>
      </c>
      <c r="T137">
        <v>1.9718</v>
      </c>
      <c r="U137">
        <v>0.5168</v>
      </c>
      <c r="V137">
        <v>32.93</v>
      </c>
      <c r="W137">
        <v>0.1026</v>
      </c>
      <c r="X137" s="14" t="str">
        <f>IFERROR(INDEX('코드표'!$B$2:$B$500,MATCH(TRIM(I137),'코드표'!$A$2:$A$500,0)),"미분류")</f>
        <v>OA</v>
      </c>
      <c r="Y137" s="14">
        <f>IFERROR(IF(--L137&gt;0,1,0),"")</f>
        <v>0</v>
      </c>
    </row>
    <row r="138" spans="1:25">
      <c r="A138" t="s">
        <v>762</v>
      </c>
      <c r="B138" t="s">
        <v>763</v>
      </c>
      <c r="C138" t="s">
        <v>281</v>
      </c>
      <c r="D138" t="s">
        <v>282</v>
      </c>
      <c r="E138" t="s">
        <v>190</v>
      </c>
      <c r="F138" t="s">
        <v>164</v>
      </c>
      <c r="G138" t="s">
        <v>89</v>
      </c>
      <c r="H138" t="s">
        <v>90</v>
      </c>
      <c r="I138" t="s">
        <v>283</v>
      </c>
      <c r="J138">
        <v>93460</v>
      </c>
      <c r="K138" t="s">
        <v>105</v>
      </c>
      <c r="L138">
        <v>74</v>
      </c>
      <c r="M138">
        <v>59200</v>
      </c>
      <c r="N138">
        <v>66</v>
      </c>
      <c r="O138">
        <v>3</v>
      </c>
      <c r="P138" t="s">
        <v>131</v>
      </c>
      <c r="Q138" t="s">
        <v>764</v>
      </c>
      <c r="R138" t="s">
        <v>765</v>
      </c>
      <c r="S138">
        <v>345019000</v>
      </c>
      <c r="T138">
        <v>1.1475</v>
      </c>
      <c r="U138">
        <v>1.6926</v>
      </c>
      <c r="W138">
        <v>0.0358</v>
      </c>
      <c r="X138" s="14" t="str">
        <f>IFERROR(INDEX('코드표'!$B$2:$B$500,MATCH(TRIM(I138),'코드표'!$A$2:$A$500,0)),"미분류")</f>
        <v>OA</v>
      </c>
      <c r="Y138" s="14">
        <f>IFERROR(IF(--L138&gt;0,1,0),"")</f>
        <v>1</v>
      </c>
    </row>
    <row r="139" spans="1:25">
      <c r="A139" t="s">
        <v>766</v>
      </c>
      <c r="B139" t="s">
        <v>767</v>
      </c>
      <c r="C139" t="s">
        <v>274</v>
      </c>
      <c r="D139" t="s">
        <v>275</v>
      </c>
      <c r="E139" t="s">
        <v>163</v>
      </c>
      <c r="F139" t="s">
        <v>88</v>
      </c>
      <c r="G139" t="s">
        <v>89</v>
      </c>
      <c r="H139" t="s">
        <v>90</v>
      </c>
      <c r="I139" t="s">
        <v>372</v>
      </c>
      <c r="J139">
        <v>5520000</v>
      </c>
      <c r="K139" t="s">
        <v>105</v>
      </c>
      <c r="L139">
        <v>0</v>
      </c>
      <c r="M139">
        <v>0</v>
      </c>
      <c r="N139">
        <v>77</v>
      </c>
      <c r="O139">
        <v>5</v>
      </c>
      <c r="P139" t="s">
        <v>131</v>
      </c>
      <c r="Q139" t="s">
        <v>768</v>
      </c>
      <c r="R139" t="s">
        <v>140</v>
      </c>
      <c r="X139" s="14" t="str">
        <f>IFERROR(INDEX('코드표'!$B$2:$B$500,MATCH(TRIM(I139),'코드표'!$A$2:$A$500,0)),"미분류")</f>
        <v>OA</v>
      </c>
      <c r="Y139" s="14">
        <f>IFERROR(IF(--L139&gt;0,1,0),"")</f>
        <v>0</v>
      </c>
    </row>
    <row r="140" spans="1:25">
      <c r="A140" t="s">
        <v>769</v>
      </c>
      <c r="B140" t="s">
        <v>770</v>
      </c>
      <c r="C140" t="s">
        <v>148</v>
      </c>
      <c r="D140" t="s">
        <v>149</v>
      </c>
      <c r="E140" t="s">
        <v>87</v>
      </c>
      <c r="F140" t="s">
        <v>128</v>
      </c>
      <c r="G140" t="s">
        <v>89</v>
      </c>
      <c r="H140" t="s">
        <v>90</v>
      </c>
      <c r="I140" t="s">
        <v>314</v>
      </c>
      <c r="J140">
        <v>0</v>
      </c>
      <c r="K140" t="s">
        <v>92</v>
      </c>
      <c r="L140">
        <v>0</v>
      </c>
      <c r="M140">
        <v>0</v>
      </c>
      <c r="N140">
        <v>78</v>
      </c>
      <c r="O140" t="s">
        <v>93</v>
      </c>
      <c r="P140" t="s">
        <v>131</v>
      </c>
      <c r="Q140" t="s">
        <v>771</v>
      </c>
      <c r="R140" t="s">
        <v>772</v>
      </c>
      <c r="S140">
        <v>10671000</v>
      </c>
      <c r="T140">
        <v>0.9785</v>
      </c>
      <c r="U140">
        <v>2.5692</v>
      </c>
      <c r="V140">
        <v>75.8</v>
      </c>
      <c r="W140">
        <v>0.0604</v>
      </c>
      <c r="X140" s="14" t="str">
        <f>IFERROR(INDEX('코드표'!$B$2:$B$500,MATCH(TRIM(I140),'코드표'!$A$2:$A$500,0)),"미분류")</f>
        <v>DA</v>
      </c>
      <c r="Y140" s="14">
        <f>IFERROR(IF(--L140&gt;0,1,0),"")</f>
        <v>0</v>
      </c>
    </row>
    <row r="141" spans="1:25">
      <c r="A141" t="s">
        <v>773</v>
      </c>
      <c r="B141" t="s">
        <v>774</v>
      </c>
      <c r="C141" t="s">
        <v>357</v>
      </c>
      <c r="D141" t="s">
        <v>358</v>
      </c>
      <c r="E141" t="s">
        <v>120</v>
      </c>
      <c r="F141" t="s">
        <v>128</v>
      </c>
      <c r="G141" t="s">
        <v>89</v>
      </c>
      <c r="H141" t="s">
        <v>90</v>
      </c>
      <c r="I141" t="s">
        <v>258</v>
      </c>
      <c r="J141">
        <v>0</v>
      </c>
      <c r="K141" t="s">
        <v>183</v>
      </c>
      <c r="L141">
        <v>0</v>
      </c>
      <c r="M141">
        <v>0</v>
      </c>
      <c r="N141">
        <v>60</v>
      </c>
      <c r="O141">
        <v>2</v>
      </c>
      <c r="P141" t="s">
        <v>94</v>
      </c>
      <c r="Q141" t="s">
        <v>775</v>
      </c>
      <c r="R141" t="s">
        <v>776</v>
      </c>
      <c r="S141">
        <v>24661000</v>
      </c>
      <c r="T141">
        <v>2.5272</v>
      </c>
      <c r="U141">
        <v>1.8685</v>
      </c>
      <c r="V141">
        <v>51.61</v>
      </c>
      <c r="W141">
        <v>0.0616</v>
      </c>
      <c r="X141" s="14" t="str">
        <f>IFERROR(INDEX('코드표'!$B$2:$B$500,MATCH(TRIM(I141),'코드표'!$A$2:$A$500,0)),"미분류")</f>
        <v>TT_ADV</v>
      </c>
      <c r="Y141" s="14">
        <f>IFERROR(IF(--L141&gt;0,1,0),"")</f>
        <v>0</v>
      </c>
    </row>
    <row r="142" spans="1:25">
      <c r="A142" t="s">
        <v>777</v>
      </c>
      <c r="B142" t="s">
        <v>778</v>
      </c>
      <c r="C142" t="s">
        <v>99</v>
      </c>
      <c r="D142" t="s">
        <v>100</v>
      </c>
      <c r="E142" t="s">
        <v>101</v>
      </c>
      <c r="F142" t="s">
        <v>88</v>
      </c>
      <c r="G142" t="s">
        <v>89</v>
      </c>
      <c r="H142" t="s">
        <v>90</v>
      </c>
      <c r="I142" t="s">
        <v>368</v>
      </c>
      <c r="J142">
        <v>59800</v>
      </c>
      <c r="K142" t="s">
        <v>156</v>
      </c>
      <c r="L142">
        <v>0</v>
      </c>
      <c r="M142">
        <v>0</v>
      </c>
      <c r="O142">
        <v>2</v>
      </c>
      <c r="P142" t="s">
        <v>131</v>
      </c>
      <c r="Q142" t="s">
        <v>779</v>
      </c>
      <c r="R142" t="s">
        <v>780</v>
      </c>
      <c r="S142">
        <v>3397000</v>
      </c>
      <c r="T142">
        <v>1.5472</v>
      </c>
      <c r="U142">
        <v>1.4024</v>
      </c>
      <c r="V142">
        <v>59.96</v>
      </c>
      <c r="W142">
        <v>0.0677</v>
      </c>
      <c r="X142" s="14" t="str">
        <f>IFERROR(INDEX('코드표'!$B$2:$B$500,MATCH(TRIM(I142),'코드표'!$A$2:$A$500,0)),"미분류")</f>
        <v>OA</v>
      </c>
      <c r="Y142" s="14">
        <f>IFERROR(IF(--L142&gt;0,1,0),"")</f>
        <v>0</v>
      </c>
    </row>
    <row r="143" spans="1:25">
      <c r="A143" t="s">
        <v>781</v>
      </c>
      <c r="B143" t="s">
        <v>782</v>
      </c>
      <c r="C143" t="s">
        <v>148</v>
      </c>
      <c r="D143" t="s">
        <v>149</v>
      </c>
      <c r="E143" t="s">
        <v>87</v>
      </c>
      <c r="F143" t="s">
        <v>102</v>
      </c>
      <c r="G143" t="s">
        <v>89</v>
      </c>
      <c r="H143" t="s">
        <v>90</v>
      </c>
      <c r="I143" t="s">
        <v>215</v>
      </c>
      <c r="J143">
        <v>37730</v>
      </c>
      <c r="K143" t="s">
        <v>92</v>
      </c>
      <c r="L143">
        <v>0</v>
      </c>
      <c r="M143">
        <v>0</v>
      </c>
      <c r="N143">
        <v>81</v>
      </c>
      <c r="O143" t="s">
        <v>93</v>
      </c>
      <c r="P143" t="s">
        <v>131</v>
      </c>
      <c r="Q143" t="s">
        <v>783</v>
      </c>
      <c r="R143" t="s">
        <v>784</v>
      </c>
      <c r="S143">
        <v>26122000</v>
      </c>
      <c r="T143">
        <v>1.2735</v>
      </c>
      <c r="U143">
        <v>2.4401</v>
      </c>
      <c r="V143">
        <v>91.83</v>
      </c>
      <c r="W143">
        <v>0.06859999999999999</v>
      </c>
      <c r="X143" s="14" t="str">
        <f>IFERROR(INDEX('코드표'!$B$2:$B$500,MATCH(TRIM(I143),'코드표'!$A$2:$A$500,0)),"미분류")</f>
        <v>DA</v>
      </c>
      <c r="Y143" s="14">
        <f>IFERROR(IF(--L143&gt;0,1,0),"")</f>
        <v>0</v>
      </c>
    </row>
    <row r="144" spans="1:25">
      <c r="A144" t="s">
        <v>785</v>
      </c>
      <c r="B144" t="s">
        <v>786</v>
      </c>
      <c r="C144" t="s">
        <v>188</v>
      </c>
      <c r="D144" t="s">
        <v>189</v>
      </c>
      <c r="E144" t="s">
        <v>190</v>
      </c>
      <c r="F144" t="s">
        <v>102</v>
      </c>
      <c r="G144" t="s">
        <v>89</v>
      </c>
      <c r="H144" t="s">
        <v>90</v>
      </c>
      <c r="I144" t="s">
        <v>276</v>
      </c>
      <c r="J144">
        <v>139350</v>
      </c>
      <c r="K144" t="s">
        <v>105</v>
      </c>
      <c r="L144">
        <v>27</v>
      </c>
      <c r="M144">
        <v>23290</v>
      </c>
      <c r="N144">
        <v>80</v>
      </c>
      <c r="O144" t="s">
        <v>93</v>
      </c>
      <c r="P144" t="s">
        <v>131</v>
      </c>
      <c r="Q144" t="s">
        <v>787</v>
      </c>
      <c r="R144" t="s">
        <v>788</v>
      </c>
      <c r="S144">
        <v>232218000</v>
      </c>
      <c r="T144">
        <v>1.4653</v>
      </c>
      <c r="U144">
        <v>1.1066</v>
      </c>
      <c r="V144">
        <v>59.63</v>
      </c>
      <c r="X144" s="14" t="str">
        <f>IFERROR(INDEX('코드표'!$B$2:$B$500,MATCH(TRIM(I144),'코드표'!$A$2:$A$500,0)),"미분류")</f>
        <v>OA</v>
      </c>
      <c r="Y144" s="14">
        <f>IFERROR(IF(--L144&gt;0,1,0),"")</f>
        <v>1</v>
      </c>
    </row>
    <row r="145" spans="1:25">
      <c r="A145" t="s">
        <v>789</v>
      </c>
      <c r="B145" t="s">
        <v>790</v>
      </c>
      <c r="C145" t="s">
        <v>148</v>
      </c>
      <c r="D145" t="s">
        <v>149</v>
      </c>
      <c r="E145" t="s">
        <v>87</v>
      </c>
      <c r="F145" t="s">
        <v>102</v>
      </c>
      <c r="G145" t="s">
        <v>89</v>
      </c>
      <c r="H145" t="s">
        <v>90</v>
      </c>
      <c r="I145" t="s">
        <v>434</v>
      </c>
      <c r="J145">
        <v>32740</v>
      </c>
      <c r="K145" t="s">
        <v>92</v>
      </c>
      <c r="L145">
        <v>0</v>
      </c>
      <c r="M145">
        <v>0</v>
      </c>
      <c r="N145">
        <v>78</v>
      </c>
      <c r="O145" t="s">
        <v>93</v>
      </c>
      <c r="P145" t="s">
        <v>94</v>
      </c>
      <c r="Q145" t="s">
        <v>791</v>
      </c>
      <c r="R145" t="s">
        <v>792</v>
      </c>
      <c r="S145">
        <v>525147000</v>
      </c>
      <c r="T145">
        <v>1.6684</v>
      </c>
      <c r="U145">
        <v>0.2695</v>
      </c>
      <c r="V145">
        <v>45.23</v>
      </c>
      <c r="W145">
        <v>0.162</v>
      </c>
      <c r="X145" s="14" t="str">
        <f>IFERROR(INDEX('코드표'!$B$2:$B$500,MATCH(TRIM(I145),'코드표'!$A$2:$A$500,0)),"미분류")</f>
        <v>DA</v>
      </c>
      <c r="Y145" s="14">
        <f>IFERROR(IF(--L145&gt;0,1,0),"")</f>
        <v>0</v>
      </c>
    </row>
    <row r="146" spans="1:25">
      <c r="A146" t="s">
        <v>793</v>
      </c>
      <c r="B146" t="s">
        <v>794</v>
      </c>
      <c r="C146" t="s">
        <v>170</v>
      </c>
      <c r="D146" t="s">
        <v>171</v>
      </c>
      <c r="E146" t="s">
        <v>112</v>
      </c>
      <c r="F146" t="s">
        <v>128</v>
      </c>
      <c r="G146" t="s">
        <v>89</v>
      </c>
      <c r="H146" t="s">
        <v>90</v>
      </c>
      <c r="I146" t="s">
        <v>494</v>
      </c>
      <c r="J146">
        <v>0</v>
      </c>
      <c r="K146" t="s">
        <v>105</v>
      </c>
      <c r="L146">
        <v>0</v>
      </c>
      <c r="M146">
        <v>0</v>
      </c>
      <c r="O146">
        <v>3</v>
      </c>
      <c r="P146" t="s">
        <v>131</v>
      </c>
      <c r="Q146" t="s">
        <v>795</v>
      </c>
      <c r="R146" t="s">
        <v>796</v>
      </c>
      <c r="S146">
        <v>10933000</v>
      </c>
      <c r="T146">
        <v>1.1517</v>
      </c>
      <c r="U146">
        <v>2.3297</v>
      </c>
      <c r="V146">
        <v>84.09999999999999</v>
      </c>
      <c r="W146">
        <v>-0.0419</v>
      </c>
      <c r="X146" s="14" t="str">
        <f>IFERROR(INDEX('코드표'!$B$2:$B$500,MATCH(TRIM(I146),'코드표'!$A$2:$A$500,0)),"미분류")</f>
        <v>OA</v>
      </c>
      <c r="Y146" s="14">
        <f>IFERROR(IF(--L146&gt;0,1,0),"")</f>
        <v>0</v>
      </c>
    </row>
    <row r="147" spans="1:25">
      <c r="A147" t="s">
        <v>797</v>
      </c>
      <c r="B147" t="s">
        <v>798</v>
      </c>
      <c r="C147" t="s">
        <v>136</v>
      </c>
      <c r="D147" t="s">
        <v>137</v>
      </c>
      <c r="E147" t="s">
        <v>112</v>
      </c>
      <c r="F147" t="s">
        <v>102</v>
      </c>
      <c r="G147" t="s">
        <v>89</v>
      </c>
      <c r="H147" t="s">
        <v>90</v>
      </c>
      <c r="I147" t="s">
        <v>439</v>
      </c>
      <c r="J147">
        <v>0</v>
      </c>
      <c r="K147" t="s">
        <v>105</v>
      </c>
      <c r="L147">
        <v>0</v>
      </c>
      <c r="M147">
        <v>0</v>
      </c>
      <c r="N147">
        <v>80</v>
      </c>
      <c r="O147">
        <v>2</v>
      </c>
      <c r="P147" t="s">
        <v>131</v>
      </c>
      <c r="Q147" t="s">
        <v>799</v>
      </c>
      <c r="R147" t="s">
        <v>800</v>
      </c>
      <c r="S147">
        <v>94416000</v>
      </c>
      <c r="T147">
        <v>1.6341</v>
      </c>
      <c r="U147">
        <v>0.8819</v>
      </c>
      <c r="V147">
        <v>40.82</v>
      </c>
      <c r="W147">
        <v>0.1009</v>
      </c>
      <c r="X147" s="14" t="str">
        <f>IFERROR(INDEX('코드표'!$B$2:$B$500,MATCH(TRIM(I147),'코드표'!$A$2:$A$500,0)),"미분류")</f>
        <v>미분류</v>
      </c>
      <c r="Y147" s="14">
        <f>IFERROR(IF(--L147&gt;0,1,0),"")</f>
        <v>0</v>
      </c>
    </row>
    <row r="148" spans="1:25">
      <c r="A148" t="s">
        <v>801</v>
      </c>
      <c r="B148" t="s">
        <v>802</v>
      </c>
      <c r="C148" t="s">
        <v>803</v>
      </c>
      <c r="D148" t="s">
        <v>275</v>
      </c>
      <c r="E148" t="s">
        <v>163</v>
      </c>
      <c r="F148" t="s">
        <v>128</v>
      </c>
      <c r="G148" t="s">
        <v>89</v>
      </c>
      <c r="H148" t="s">
        <v>90</v>
      </c>
      <c r="I148" t="s">
        <v>276</v>
      </c>
      <c r="J148">
        <v>25040</v>
      </c>
      <c r="K148" t="s">
        <v>105</v>
      </c>
      <c r="L148">
        <v>15</v>
      </c>
      <c r="M148" t="s">
        <v>804</v>
      </c>
      <c r="N148">
        <v>72</v>
      </c>
      <c r="O148">
        <v>5</v>
      </c>
      <c r="P148" t="s">
        <v>94</v>
      </c>
      <c r="Q148" t="s">
        <v>805</v>
      </c>
      <c r="R148" t="s">
        <v>806</v>
      </c>
      <c r="S148">
        <v>161485000</v>
      </c>
      <c r="T148">
        <v>1.802</v>
      </c>
      <c r="U148">
        <v>0.6534</v>
      </c>
      <c r="V148">
        <v>38.13</v>
      </c>
      <c r="X148" s="14" t="str">
        <f>IFERROR(INDEX('코드표'!$B$2:$B$500,MATCH(TRIM(I148),'코드표'!$A$2:$A$500,0)),"미분류")</f>
        <v>OA</v>
      </c>
      <c r="Y148" s="14">
        <f>IFERROR(IF(--L148&gt;0,1,0),"")</f>
        <v>1</v>
      </c>
    </row>
    <row r="149" spans="1:25">
      <c r="A149" t="s">
        <v>807</v>
      </c>
      <c r="B149" t="s">
        <v>808</v>
      </c>
      <c r="C149" t="s">
        <v>619</v>
      </c>
      <c r="D149" t="s">
        <v>620</v>
      </c>
      <c r="E149" t="s">
        <v>87</v>
      </c>
      <c r="F149" t="s">
        <v>164</v>
      </c>
      <c r="G149" t="s">
        <v>89</v>
      </c>
      <c r="H149" t="s">
        <v>90</v>
      </c>
      <c r="I149" t="s">
        <v>182</v>
      </c>
      <c r="J149">
        <v>0</v>
      </c>
      <c r="K149" t="s">
        <v>105</v>
      </c>
      <c r="L149">
        <v>0</v>
      </c>
      <c r="M149">
        <v>0</v>
      </c>
      <c r="N149">
        <v>76</v>
      </c>
      <c r="O149" t="s">
        <v>93</v>
      </c>
      <c r="P149" t="s">
        <v>94</v>
      </c>
      <c r="Q149" t="s">
        <v>809</v>
      </c>
      <c r="R149" t="s">
        <v>810</v>
      </c>
      <c r="S149">
        <v>98473000</v>
      </c>
      <c r="T149">
        <v>1.6111</v>
      </c>
      <c r="U149">
        <v>1.4326</v>
      </c>
      <c r="V149">
        <v>50.99</v>
      </c>
      <c r="X149" s="14" t="str">
        <f>IFERROR(INDEX('코드표'!$B$2:$B$500,MATCH(TRIM(I149),'코드표'!$A$2:$A$500,0)),"미분류")</f>
        <v>TT_ADV</v>
      </c>
      <c r="Y149" s="14">
        <f>IFERROR(IF(--L149&gt;0,1,0),"")</f>
        <v>0</v>
      </c>
    </row>
    <row r="150" spans="1:25">
      <c r="A150" t="s">
        <v>811</v>
      </c>
      <c r="B150" t="s">
        <v>812</v>
      </c>
      <c r="C150" t="s">
        <v>341</v>
      </c>
      <c r="D150" t="s">
        <v>342</v>
      </c>
      <c r="E150" t="s">
        <v>190</v>
      </c>
      <c r="G150" t="s">
        <v>89</v>
      </c>
      <c r="H150" t="s">
        <v>90</v>
      </c>
      <c r="I150" t="s">
        <v>409</v>
      </c>
      <c r="J150">
        <v>8570</v>
      </c>
      <c r="K150" t="s">
        <v>105</v>
      </c>
      <c r="L150">
        <v>0</v>
      </c>
      <c r="M150">
        <v>0</v>
      </c>
      <c r="N150">
        <v>79</v>
      </c>
      <c r="O150">
        <v>4</v>
      </c>
      <c r="P150" t="s">
        <v>94</v>
      </c>
      <c r="Q150" t="s">
        <v>813</v>
      </c>
      <c r="R150" t="s">
        <v>814</v>
      </c>
      <c r="S150">
        <v>19471000</v>
      </c>
      <c r="U150">
        <v>2.3715</v>
      </c>
      <c r="W150">
        <v>0.0173</v>
      </c>
      <c r="X150" s="14" t="str">
        <f>IFERROR(INDEX('코드표'!$B$2:$B$500,MATCH(TRIM(I150),'코드표'!$A$2:$A$500,0)),"미분류")</f>
        <v>OA</v>
      </c>
      <c r="Y150" s="14">
        <f>IFERROR(IF(--L150&gt;0,1,0),"")</f>
        <v>0</v>
      </c>
    </row>
    <row r="151" spans="1:25">
      <c r="A151" t="s">
        <v>815</v>
      </c>
      <c r="B151" t="s">
        <v>816</v>
      </c>
      <c r="C151" t="s">
        <v>251</v>
      </c>
      <c r="D151" t="s">
        <v>252</v>
      </c>
      <c r="E151" t="s">
        <v>112</v>
      </c>
      <c r="F151" t="s">
        <v>164</v>
      </c>
      <c r="G151" t="s">
        <v>89</v>
      </c>
      <c r="H151" t="s">
        <v>90</v>
      </c>
      <c r="I151" t="s">
        <v>817</v>
      </c>
      <c r="J151">
        <v>33520</v>
      </c>
      <c r="K151" t="s">
        <v>130</v>
      </c>
      <c r="L151" t="s">
        <v>818</v>
      </c>
      <c r="M151">
        <v>33520</v>
      </c>
      <c r="O151">
        <v>3</v>
      </c>
      <c r="P151" t="s">
        <v>94</v>
      </c>
      <c r="Q151" t="s">
        <v>819</v>
      </c>
      <c r="R151" t="s">
        <v>820</v>
      </c>
      <c r="S151">
        <v>25202000</v>
      </c>
      <c r="U151">
        <v>1.5092</v>
      </c>
      <c r="V151">
        <v>94.06999999999999</v>
      </c>
      <c r="W151">
        <v>0.0452</v>
      </c>
      <c r="X151" s="14" t="str">
        <f>IFERROR(INDEX('코드표'!$B$2:$B$500,MATCH(TRIM(I151),'코드표'!$A$2:$A$500,0)),"미분류")</f>
        <v>DA</v>
      </c>
      <c r="Y151" s="14">
        <f>IFERROR(IF(--L151&gt;0,1,0),"")</f>
        <v/>
      </c>
    </row>
    <row r="152" spans="1:25">
      <c r="A152" t="s">
        <v>821</v>
      </c>
      <c r="B152" t="s">
        <v>822</v>
      </c>
      <c r="C152" t="s">
        <v>357</v>
      </c>
      <c r="D152" t="s">
        <v>358</v>
      </c>
      <c r="E152" t="s">
        <v>120</v>
      </c>
      <c r="F152" t="s">
        <v>172</v>
      </c>
      <c r="G152" t="s">
        <v>89</v>
      </c>
      <c r="H152" t="s">
        <v>90</v>
      </c>
      <c r="I152" t="s">
        <v>823</v>
      </c>
      <c r="J152">
        <v>88190</v>
      </c>
      <c r="K152" t="s">
        <v>105</v>
      </c>
      <c r="L152">
        <v>0</v>
      </c>
      <c r="M152">
        <v>0</v>
      </c>
      <c r="N152">
        <v>78</v>
      </c>
      <c r="O152">
        <v>2</v>
      </c>
      <c r="P152" t="s">
        <v>94</v>
      </c>
      <c r="Q152" t="s">
        <v>824</v>
      </c>
      <c r="R152" t="s">
        <v>825</v>
      </c>
      <c r="S152">
        <v>237446000</v>
      </c>
      <c r="T152">
        <v>1.7138</v>
      </c>
      <c r="U152">
        <v>0.7393999999999999</v>
      </c>
      <c r="V152">
        <v>54.23</v>
      </c>
      <c r="W152">
        <v>0.09379999999999999</v>
      </c>
      <c r="X152" s="14" t="str">
        <f>IFERROR(INDEX('코드표'!$B$2:$B$500,MATCH(TRIM(I152),'코드표'!$A$2:$A$500,0)),"미분류")</f>
        <v>OA</v>
      </c>
      <c r="Y152" s="14">
        <f>IFERROR(IF(--L152&gt;0,1,0),"")</f>
        <v>0</v>
      </c>
    </row>
    <row r="153" spans="1:25">
      <c r="A153" t="s">
        <v>826</v>
      </c>
      <c r="B153" t="s">
        <v>827</v>
      </c>
      <c r="C153" t="s">
        <v>99</v>
      </c>
      <c r="D153" t="s">
        <v>100</v>
      </c>
      <c r="E153" t="s">
        <v>101</v>
      </c>
      <c r="F153" t="s">
        <v>128</v>
      </c>
      <c r="G153" t="s">
        <v>89</v>
      </c>
      <c r="H153" t="s">
        <v>90</v>
      </c>
      <c r="I153" t="s">
        <v>828</v>
      </c>
      <c r="J153">
        <v>10966</v>
      </c>
      <c r="K153" t="s">
        <v>105</v>
      </c>
      <c r="L153">
        <v>0</v>
      </c>
      <c r="M153">
        <v>0</v>
      </c>
      <c r="O153">
        <v>2</v>
      </c>
      <c r="P153" t="s">
        <v>131</v>
      </c>
      <c r="Q153" t="s">
        <v>829</v>
      </c>
      <c r="R153" t="s">
        <v>830</v>
      </c>
      <c r="S153">
        <v>44808000</v>
      </c>
      <c r="T153">
        <v>1.9034</v>
      </c>
      <c r="U153">
        <v>1.3226</v>
      </c>
      <c r="V153">
        <v>50.26</v>
      </c>
      <c r="W153">
        <v>0.0931</v>
      </c>
      <c r="X153" s="14" t="str">
        <f>IFERROR(INDEX('코드표'!$B$2:$B$500,MATCH(TRIM(I153),'코드표'!$A$2:$A$500,0)),"미분류")</f>
        <v>미분류</v>
      </c>
      <c r="Y153" s="14">
        <f>IFERROR(IF(--L153&gt;0,1,0),"")</f>
        <v>0</v>
      </c>
    </row>
    <row r="154" spans="1:25">
      <c r="A154" t="s">
        <v>831</v>
      </c>
      <c r="B154" t="s">
        <v>832</v>
      </c>
      <c r="C154" t="s">
        <v>619</v>
      </c>
      <c r="D154" t="s">
        <v>620</v>
      </c>
      <c r="E154" t="s">
        <v>87</v>
      </c>
      <c r="F154" t="s">
        <v>102</v>
      </c>
      <c r="G154" t="s">
        <v>89</v>
      </c>
      <c r="H154" t="s">
        <v>90</v>
      </c>
      <c r="I154" t="s">
        <v>138</v>
      </c>
      <c r="J154">
        <v>0</v>
      </c>
      <c r="K154" t="s">
        <v>105</v>
      </c>
      <c r="L154">
        <v>0</v>
      </c>
      <c r="M154">
        <v>0</v>
      </c>
      <c r="N154">
        <v>76</v>
      </c>
      <c r="O154" t="s">
        <v>93</v>
      </c>
      <c r="P154" t="s">
        <v>131</v>
      </c>
      <c r="Q154" t="s">
        <v>833</v>
      </c>
      <c r="R154" t="s">
        <v>834</v>
      </c>
      <c r="S154">
        <v>8930000</v>
      </c>
      <c r="T154">
        <v>1.0423</v>
      </c>
      <c r="U154">
        <v>1.5159</v>
      </c>
      <c r="V154">
        <v>95.64</v>
      </c>
      <c r="W154">
        <v>0.0342</v>
      </c>
      <c r="X154" s="14" t="str">
        <f>IFERROR(INDEX('코드표'!$B$2:$B$500,MATCH(TRIM(I154),'코드표'!$A$2:$A$500,0)),"미분류")</f>
        <v>OA</v>
      </c>
      <c r="Y154" s="14">
        <f>IFERROR(IF(--L154&gt;0,1,0),"")</f>
        <v>0</v>
      </c>
    </row>
  </sheetData>
  <autoFilter ref="A1:Y15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18.7109375" customWidth="1"/>
    <col min="3" max="3" width="70.7109375" customWidth="1"/>
  </cols>
  <sheetData>
    <row r="1" spans="1:3">
      <c r="A1" s="5" t="s">
        <v>835</v>
      </c>
      <c r="B1" s="5" t="s">
        <v>28</v>
      </c>
      <c r="C1" s="5" t="s">
        <v>836</v>
      </c>
    </row>
    <row r="2" spans="1:3">
      <c r="A2" s="7" t="s">
        <v>258</v>
      </c>
      <c r="B2" s="6" t="s">
        <v>35</v>
      </c>
    </row>
    <row r="3" spans="1:3">
      <c r="A3" s="7" t="s">
        <v>837</v>
      </c>
      <c r="B3" s="6" t="s">
        <v>35</v>
      </c>
    </row>
    <row r="4" spans="1:3">
      <c r="A4" s="7" t="s">
        <v>182</v>
      </c>
      <c r="B4" s="6" t="s">
        <v>35</v>
      </c>
    </row>
    <row r="5" spans="1:3">
      <c r="A5" s="7" t="s">
        <v>838</v>
      </c>
      <c r="B5" s="6" t="s">
        <v>35</v>
      </c>
      <c r="C5" s="15" t="s">
        <v>839</v>
      </c>
    </row>
    <row r="6" spans="1:3">
      <c r="A6" s="7" t="s">
        <v>165</v>
      </c>
      <c r="B6" s="6" t="s">
        <v>35</v>
      </c>
      <c r="C6" s="15" t="s">
        <v>839</v>
      </c>
    </row>
    <row r="7" spans="1:3">
      <c r="A7" s="7" t="s">
        <v>222</v>
      </c>
      <c r="B7" s="6" t="s">
        <v>37</v>
      </c>
    </row>
    <row r="8" spans="1:3">
      <c r="A8" s="7" t="s">
        <v>324</v>
      </c>
      <c r="B8" s="6" t="s">
        <v>37</v>
      </c>
    </row>
    <row r="9" spans="1:3">
      <c r="A9" s="7" t="s">
        <v>513</v>
      </c>
      <c r="B9" s="6" t="s">
        <v>37</v>
      </c>
    </row>
    <row r="10" spans="1:3">
      <c r="A10" s="7" t="s">
        <v>138</v>
      </c>
      <c r="B10" s="6" t="s">
        <v>47</v>
      </c>
    </row>
    <row r="11" spans="1:3">
      <c r="A11" s="7" t="s">
        <v>423</v>
      </c>
      <c r="B11" s="6" t="s">
        <v>47</v>
      </c>
    </row>
    <row r="12" spans="1:3">
      <c r="A12" s="7" t="s">
        <v>372</v>
      </c>
      <c r="B12" s="6" t="s">
        <v>47</v>
      </c>
    </row>
    <row r="13" spans="1:3">
      <c r="A13" s="7" t="s">
        <v>494</v>
      </c>
      <c r="B13" s="6" t="s">
        <v>47</v>
      </c>
    </row>
    <row r="14" spans="1:3">
      <c r="A14" s="7" t="s">
        <v>253</v>
      </c>
      <c r="B14" s="6" t="s">
        <v>47</v>
      </c>
    </row>
    <row r="15" spans="1:3">
      <c r="A15" s="7" t="s">
        <v>359</v>
      </c>
      <c r="B15" s="6" t="s">
        <v>47</v>
      </c>
    </row>
    <row r="16" spans="1:3">
      <c r="A16" s="7" t="s">
        <v>409</v>
      </c>
      <c r="B16" s="6" t="s">
        <v>47</v>
      </c>
    </row>
    <row r="17" spans="1:2">
      <c r="A17" s="7" t="s">
        <v>283</v>
      </c>
      <c r="B17" s="6" t="s">
        <v>47</v>
      </c>
    </row>
    <row r="18" spans="1:2">
      <c r="A18" s="7" t="s">
        <v>276</v>
      </c>
      <c r="B18" s="6" t="s">
        <v>47</v>
      </c>
    </row>
    <row r="19" spans="1:2">
      <c r="A19" s="7" t="s">
        <v>227</v>
      </c>
      <c r="B19" s="6" t="s">
        <v>47</v>
      </c>
    </row>
    <row r="20" spans="1:2">
      <c r="A20" s="7" t="s">
        <v>143</v>
      </c>
      <c r="B20" s="6" t="s">
        <v>47</v>
      </c>
    </row>
    <row r="21" spans="1:2">
      <c r="A21" s="7" t="s">
        <v>413</v>
      </c>
      <c r="B21" s="6" t="s">
        <v>47</v>
      </c>
    </row>
    <row r="22" spans="1:2">
      <c r="A22" s="7" t="s">
        <v>388</v>
      </c>
      <c r="B22" s="6" t="s">
        <v>47</v>
      </c>
    </row>
    <row r="23" spans="1:2">
      <c r="A23" s="7" t="s">
        <v>550</v>
      </c>
      <c r="B23" s="6" t="s">
        <v>47</v>
      </c>
    </row>
    <row r="24" spans="1:2">
      <c r="A24" s="7" t="s">
        <v>291</v>
      </c>
      <c r="B24" s="6" t="s">
        <v>47</v>
      </c>
    </row>
    <row r="25" spans="1:2">
      <c r="A25" s="7" t="s">
        <v>458</v>
      </c>
      <c r="B25" s="6" t="s">
        <v>45</v>
      </c>
    </row>
    <row r="26" spans="1:2">
      <c r="A26" s="7" t="s">
        <v>434</v>
      </c>
      <c r="B26" s="6" t="s">
        <v>45</v>
      </c>
    </row>
    <row r="27" spans="1:2">
      <c r="A27" s="7" t="s">
        <v>722</v>
      </c>
      <c r="B27" s="6" t="s">
        <v>45</v>
      </c>
    </row>
    <row r="28" spans="1:2">
      <c r="A28" s="7" t="s">
        <v>840</v>
      </c>
      <c r="B28" s="6" t="s">
        <v>45</v>
      </c>
    </row>
    <row r="29" spans="1:2">
      <c r="A29" s="7" t="s">
        <v>113</v>
      </c>
      <c r="B29" s="6" t="s">
        <v>45</v>
      </c>
    </row>
    <row r="30" spans="1:2">
      <c r="A30" s="7" t="s">
        <v>314</v>
      </c>
      <c r="B30" s="6" t="s">
        <v>45</v>
      </c>
    </row>
    <row r="31" spans="1:2">
      <c r="A31" s="7" t="s">
        <v>215</v>
      </c>
      <c r="B31" s="6" t="s">
        <v>45</v>
      </c>
    </row>
    <row r="32" spans="1:2">
      <c r="A32" s="7" t="s">
        <v>465</v>
      </c>
      <c r="B32" s="6" t="s">
        <v>43</v>
      </c>
    </row>
    <row r="33" spans="1:2">
      <c r="A33" s="7" t="s">
        <v>508</v>
      </c>
      <c r="B33" s="6" t="s">
        <v>43</v>
      </c>
    </row>
    <row r="34" spans="1:2">
      <c r="A34" s="7" t="s">
        <v>177</v>
      </c>
      <c r="B34" s="6" t="s">
        <v>43</v>
      </c>
    </row>
    <row r="35" spans="1:2">
      <c r="A35" s="7" t="s">
        <v>841</v>
      </c>
      <c r="B35" s="6" t="s">
        <v>39</v>
      </c>
    </row>
    <row r="36" spans="1:2">
      <c r="A36" s="7" t="s">
        <v>638</v>
      </c>
      <c r="B36" s="6" t="s">
        <v>39</v>
      </c>
    </row>
    <row r="37" spans="1:2">
      <c r="A37" s="7" t="s">
        <v>842</v>
      </c>
      <c r="B37" s="6" t="s">
        <v>39</v>
      </c>
    </row>
    <row r="38" spans="1:2">
      <c r="A38" s="7" t="s">
        <v>565</v>
      </c>
      <c r="B38" s="6" t="s">
        <v>39</v>
      </c>
    </row>
    <row r="39" spans="1:2">
      <c r="A39" s="7" t="s">
        <v>121</v>
      </c>
      <c r="B39" s="6" t="s">
        <v>39</v>
      </c>
    </row>
    <row r="40" spans="1:2">
      <c r="A40" s="7" t="s">
        <v>527</v>
      </c>
      <c r="B40" s="6" t="s">
        <v>41</v>
      </c>
    </row>
    <row r="41" spans="1:2">
      <c r="A41" s="7" t="s">
        <v>843</v>
      </c>
      <c r="B41" s="6" t="s">
        <v>41</v>
      </c>
    </row>
    <row r="42" spans="1:2">
      <c r="A42" s="7" t="s">
        <v>418</v>
      </c>
      <c r="B42" s="6" t="s">
        <v>41</v>
      </c>
    </row>
    <row r="43" spans="1:2">
      <c r="A43" s="7" t="s">
        <v>329</v>
      </c>
      <c r="B43" s="6" t="s">
        <v>41</v>
      </c>
    </row>
    <row r="45" spans="1:2">
      <c r="A45" s="2" t="s">
        <v>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안내</vt:lpstr>
      <vt:lpstr>결제방식_피벗</vt:lpstr>
      <vt:lpstr>buyers</vt:lpstr>
      <vt:lpstr>코드표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1일차 실습 B-2 · 02 손 검산 완성 파일</dc:title>
  <dc:subject>결제방식별 연체 바이어 — 원천 그대로 단순 집계</dc:subject>
  <dc:creator>tradefin-ai-2026</dc:creator>
  <dc:description>수식 + 계산해 둔 값. 정답이 아니라 기준선.</dc:description>
  <cp:lastModifiedBy>tradefin-ai-2026</cp:lastModifiedBy>
  <dcterms:created xsi:type="dcterms:W3CDTF">2026-10-12T00:00:00Z</dcterms:created>
  <dcterms:modified xsi:type="dcterms:W3CDTF">2026-10-12T00:00:00Z</dcterms:modified>
</cp:coreProperties>
</file>