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만든 방법" sheetId="1" r:id="rId1"/>
    <sheet name="pred" sheetId="2" r:id="rId2"/>
    <sheet name="기준" sheetId="3" r:id="rId3"/>
    <sheet name="단조성" sheetId="4" r:id="rId4"/>
  </sheets>
  <definedNames>
    <definedName name="t">'기준'!$B$3</definedName>
  </definedNames>
  <calcPr calcId="124519" fullCalcOnLoad="1"/>
</workbook>
</file>

<file path=xl/sharedStrings.xml><?xml version="1.0" encoding="utf-8"?>
<sst xmlns="http://schemas.openxmlformats.org/spreadsheetml/2006/main" count="554" uniqueCount="216">
  <si>
    <t>3일차 실습 B-1 — 등급 매칭 완성본(t = 0.17)</t>
  </si>
  <si>
    <t>■ 이 파일은 무엇인가</t>
  </si>
  <si>
    <t>실습 B-1의 엑셀 손작업(붙여넣기 · t 입력 · IFS · 채우기 핸들 · 조건부 서식 · 피벗 · 단조성 붙여넣기)을 이미 해 둔 완성본입니다. 수업에서는 이 파일을 열어 어떻게 만들었는지 읽고, AI(Claude Code)가 같은 규칙을 내 점수에 적용한 결과와 대조하는 데 시간을 씁니다.</t>
  </si>
  <si>
    <t>정답이 아니라 '같은 프롬프트로 한 번 돌린 참고 실행'입니다. 내 모델의 설정 · 특성 처리가 다르면 숫자가 다른 것이 정상이고, 어디서 갈렸는지 찾는 것이 B-1 · 05입니다.</t>
  </si>
  <si>
    <t>■ 등급 규칙 — C부터 검사</t>
  </si>
  <si>
    <t>C: pd_30d ≥ t · B: ≥ t/2 · A: ≥ t/4 · 나머지 S. 가장 위험한 C부터 검사합니다(A를 먼저 '≥ t/4'로 검사하면 B · C 행까지 A가 된다).</t>
  </si>
  <si>
    <t>■ 만든 방법</t>
  </si>
  <si>
    <t>① 실습 A의 A2 프롬프트 설정 그대로(학습 212행 · LightGBM · 시드 42 · payment_method 원-핫) 한 번 학습한 모델로</t>
  </si>
  <si>
    <t>② d3_start_scoring.csv 150곳의 연체 확률(pd_30d)을 소수 4자리로 pred 시트 A–C열에</t>
  </si>
  <si>
    <t>③ 비용 5:1의 이론값 1/6을 반올림한 t = 0.17을 기준 시트 노란 칸 B3(이름 t)에</t>
  </si>
  <si>
    <t>④ pred 시트 D2:D151에 =IFS(C2&gt;=t,"C",C2&gt;=t/2,"B",C2&gt;=t/4,"A",TRUE,"S") — C부터 검사</t>
  </si>
  <si>
    <t>⑤ 조건부 서식: grade가 C면 빨강, B면 주황(색을 못 봐도 글자 C · B로 읽힌다)</t>
  </si>
  <si>
    <t>⑥ 기준 시트에 등급별 바이어 수(COUNTIF — 피벗 테이블로 세어도 같은 숫자)</t>
  </si>
  <si>
    <t>⑦ 같은 모델의 시험 88행 예측(buyer_id · ref_date · late_30d · pd_30d)을 단조성 시트 A–D열에 — E열 등급과 G:J 표 · H7 판정은 수식</t>
  </si>
  <si>
    <t>⑧ 모든 숫자를 파이썬으로 같은 규칙을 다시 계산해 엑셀 수식의 값과 같은지 확인했습니다.</t>
  </si>
  <si>
    <t>■ 읽는 법(5분)</t>
  </si>
  <si>
    <t>기준!B3(노란 칸, 이름 t)를 누른다 → pred!D2를 눌러 수식 입력줄을 본다 → D열의 색 → 기준 시트 아래 분포 표 → 단조성 시트 G1:J5 표와 H7 판정.</t>
  </si>
  <si>
    <t>셀을 고칠 일은 없습니다(읽기만). 엑셀이 '보호된 보기'로 열면 그대로 읽으면 됩니다.</t>
  </si>
  <si>
    <t>■ 엑셀이 없거나 #NAME?이 보이면</t>
  </si>
  <si>
    <t>IFS는 Excel 2019 · Microsoft 365 · 웹용 Excel에 있습니다. 2016 이하면 grade 열이 #NAME?으로 보입니다 — 웹용 Excel로 열거나, 같은 pred 시트 값을 담은 d3_grade_example.csv를 씁니다.</t>
  </si>
  <si>
    <t>■ 더 해 보기(수업 뒤)</t>
  </si>
  <si>
    <t>노란 칸 t를 0.25(비용 3:1)나 0.09(10:1)로 바꾸면 등급 · 분포 · 단조성이 다시 계산됩니다. 손으로 처음부터 해 보고 싶으면 빈 양식 d3_grade_banding.xlsx를 씁니다.</t>
  </si>
  <si>
    <t>■ 등급 → 결제조건 [교육용 가정]</t>
  </si>
  <si>
    <t>S · A: O/A 유지 · B: 결제기간 단축 · 부보 검토 · C: 선수금 · L/C만(신규 O/A 금지). 조건 변경은 사람이 승인한다. 회사 내부 관리 등급이며 무역보험의 공식 등급이 아니다.</t>
  </si>
  <si>
    <t>■ 주의</t>
  </si>
  <si>
    <t>예측 대상 150곳은 정답이 없다 — 모델 성능은 실습 A의 시험셋(88행) 숫자로만 말한다. 이 파일의 등급 분포는 '일을 매기는 방법'이지 성능이 아니다.</t>
  </si>
  <si>
    <t>buyer_id</t>
  </si>
  <si>
    <t>ref_date</t>
  </si>
  <si>
    <t>pd_30d</t>
  </si>
  <si>
    <t>grade</t>
  </si>
  <si>
    <t>B001</t>
  </si>
  <si>
    <t>2026-09-30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</si>
  <si>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</si>
  <si>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</si>
  <si>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</si>
  <si>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</si>
  <si>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</si>
  <si>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</si>
  <si>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</si>
  <si>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</si>
  <si>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</si>
  <si>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</si>
  <si>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</si>
  <si>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</si>
  <si>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</si>
  <si>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</si>
  <si>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</si>
  <si>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</si>
  <si>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</si>
  <si>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</si>
  <si>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</si>
  <si>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</si>
  <si>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</si>
  <si>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</si>
  <si>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</si>
  <si>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</si>
  <si>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</si>
  <si>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</si>
  <si>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</si>
  <si>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</si>
  <si>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</si>
  <si>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</si>
  <si>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</si>
  <si>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</si>
  <si>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</si>
  <si>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</si>
  <si>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</si>
  <si>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</si>
  <si>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</si>
  <si>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</si>
  <si>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</si>
  <si>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</si>
  <si>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</si>
  <si>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</si>
  <si>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</si>
  <si>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</si>
  <si>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</si>
  <si>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</si>
  <si>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</si>
  <si>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</si>
  <si>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</si>
  <si>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</si>
  <si>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</si>
  <si>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</si>
  <si>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</si>
  <si>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</si>
  <si>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</si>
  <si>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</si>
  <si>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</si>
  <si>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</si>
  <si>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</si>
  <si>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</si>
  <si>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</si>
  <si>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</si>
  <si>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</si>
  <si>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</si>
  <si>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</si>
  <si>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</si>
  <si>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</si>
  <si>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</si>
  <si>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</si>
  <si>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</si>
  <si>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</si>
  <si>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</si>
  <si>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</si>
  <si>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</si>
  <si>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</si>
  <si>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</si>
  <si>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</si>
  <si>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</si>
  <si>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</si>
  <si>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</si>
  <si>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</si>
  <si>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</si>
  <si>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</si>
  <si>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</si>
  <si>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</si>
  <si>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</si>
  <si>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</si>
  <si>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</si>
  <si>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</si>
  <si>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</si>
  <si>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</si>
  <si>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</si>
  <si>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</si>
  <si>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</si>
  <si>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</si>
  <si>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</si>
  <si>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</si>
  <si>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</si>
  <si>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</si>
  <si>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</si>
  <si>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</si>
  <si>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</si>
  <si>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</si>
  <si>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</si>
  <si>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</si>
  <si>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</si>
  <si>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</si>
  <si>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</si>
  <si>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</si>
  <si>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</si>
  <si>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</si>
  <si>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</si>
  <si>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</si>
  <si>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</si>
  <si>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</si>
  <si>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</si>
  <si>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</si>
  <si>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</si>
  <si>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</si>
  <si>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</si>
  <si>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</si>
  <si>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</si>
  <si>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</si>
  <si>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</si>
  <si>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</si>
  <si>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</si>
  <si>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</si>
  <si>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</si>
  <si>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</si>
  <si>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</si>
  <si>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</si>
  <si>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</si>
  <si>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</si>
  <si>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</si>
  <si>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</si>
  <si>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</si>
  <si>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</si>
  <si>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</si>
  <si>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</si>
  <si>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</si>
  <si>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</si>
  <si>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</si>
  <si>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</si>
  <si>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</si>
  <si>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</si>
  <si>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</si>
  <si>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</si>
  <si>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</si>
  <si>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</si>
  <si>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임계값 t와 등급 경계</t>
  </si>
  <si>
    <t>t (실습 A-2)</t>
  </si>
  <si>
    <t>← t = 0.17(비용 5:1의 이론값 1/6을 반올림). 이 칸만 바꾸면 등급 · 분포 · 단조성이 모두 다시 계산된다</t>
  </si>
  <si>
    <t>등급</t>
  </si>
  <si>
    <t>조건</t>
  </si>
  <si>
    <t>경계값</t>
  </si>
  <si>
    <t>뜻</t>
  </si>
  <si>
    <t>결제조건 [교육용 가정]</t>
  </si>
  <si>
    <t>C</t>
  </si>
  <si>
    <t>pd_30d ≥ t</t>
  </si>
  <si>
    <t>30일 내 연체 예상</t>
  </si>
  <si>
    <t>선수금 · L/C만(신규 O/A 금지)</t>
  </si>
  <si>
    <t>B</t>
  </si>
  <si>
    <t>t/2 ≤ pd_30d &lt; t</t>
  </si>
  <si>
    <t>관찰</t>
  </si>
  <si>
    <t>결제기간 단축 · 부보 검토</t>
  </si>
  <si>
    <t>A</t>
  </si>
  <si>
    <t>t/4 ≤ pd_30d &lt; t/2</t>
  </si>
  <si>
    <t>낮음</t>
  </si>
  <si>
    <t>O/A 유지</t>
  </si>
  <si>
    <t>S</t>
  </si>
  <si>
    <t>pd_30d &lt; t/4</t>
  </si>
  <si>
    <t>매우 낮음</t>
  </si>
  <si>
    <t>등급별 바이어 수 — COUNTIF로 셌다(피벗 테이블: 행 grade · 값 buyer_id 개수로 세어도 같은 숫자)</t>
  </si>
  <si>
    <t>바이어 수</t>
  </si>
  <si>
    <t>비율</t>
  </si>
  <si>
    <t>합계</t>
  </si>
  <si>
    <t>late_30d</t>
  </si>
  <si>
    <t>2026-02-28</t>
  </si>
  <si>
    <t>2026-08-31</t>
  </si>
  <si>
    <t>행 수</t>
  </si>
  <si>
    <t>연체 수</t>
  </si>
  <si>
    <t>실제 연체율</t>
  </si>
  <si>
    <t>단조성</t>
  </si>
  <si>
    <t>시험 88행 = 실습 A의 d3_test_pred.csv와 같은 모양(이 파일은 참고 실행의 값). 건수가 적은 A · B는 흔들릴 수 있다 — S와 C를 먼저 본다.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</si>
</sst>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sz val="11"/>
      <color theme="1"/>
      <name val="Calibri"/>
      <family val="2"/>
      <scheme val="minor"/>
    </font>
    <font>
      <b/>
      <sz val="14"/>
      <color theme="1"/>
      <name val="맑은 고딕"/>
      <family val="2"/>
    </font>
    <font>
      <b/>
      <sz val="11"/>
      <color theme="1"/>
      <name val="맑은 고딕"/>
      <family val="2"/>
    </font>
    <font>
      <sz val="10"/>
      <color theme="1"/>
      <name val="맑은 고딕"/>
      <family val="2"/>
    </font>
    <font>
      <b/>
      <sz val="10"/>
      <color theme="1"/>
      <name val="맑은 고딕"/>
      <family val="2"/>
    </font>
    <font>
      <b/>
      <sz val="13"/>
      <color theme="1"/>
      <name val="맑은 고딕"/>
      <family val="2"/>
    </font>
    <font>
      <sz val="10"/>
      <color rgb="FF555555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164" fontId="4" fillId="3" borderId="0" xfId="0" applyNumberFormat="1" applyFont="1" applyFill="1"/>
    <xf numFmtId="0" fontId="6" fillId="0" borderId="0" xfId="0" applyFont="1"/>
    <xf numFmtId="165" fontId="3" fillId="0" borderId="0" xfId="0" applyNumberFormat="1" applyFont="1"/>
  </cellXfs>
  <cellStyles count="1">
    <cellStyle name="Normal" xfId="0" builtinId="0"/>
  </cellStyles>
  <dxfs count="2">
    <dxf>
      <font>
        <b/>
        <color rgb="FF9C0006"/>
      </font>
      <fill>
        <patternFill>
          <bgColor rgb="FFF4B6B6"/>
        </patternFill>
      </fill>
    </dxf>
    <dxf>
      <font>
        <b/>
        <color rgb="FF9C5700"/>
      </font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tabSelected="1" workbookViewId="0"/>
  </sheetViews>
  <sheetFormatPr defaultRowHeight="15"/>
  <cols>
    <col min="1" max="1" width="118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2" t="s">
        <v>4</v>
      </c>
    </row>
    <row r="7" spans="1:1">
      <c r="A7" s="3" t="s">
        <v>5</v>
      </c>
    </row>
    <row r="8" spans="1:1">
      <c r="A8" s="2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2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2" t="s">
        <v>18</v>
      </c>
    </row>
    <row r="21" spans="1:1">
      <c r="A21" s="3" t="s">
        <v>19</v>
      </c>
    </row>
    <row r="22" spans="1:1">
      <c r="A22" s="2" t="s">
        <v>20</v>
      </c>
    </row>
    <row r="23" spans="1:1">
      <c r="A23" s="3" t="s">
        <v>21</v>
      </c>
    </row>
    <row r="24" spans="1:1">
      <c r="A24" s="2" t="s">
        <v>22</v>
      </c>
    </row>
    <row r="25" spans="1:1">
      <c r="A25" s="3" t="s">
        <v>23</v>
      </c>
    </row>
    <row r="26" spans="1:1">
      <c r="A26" s="2" t="s">
        <v>24</v>
      </c>
    </row>
    <row r="27" spans="1:1">
      <c r="A27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0.7109375" customWidth="1"/>
    <col min="4" max="4" width="8.7109375" customWidth="1"/>
  </cols>
  <sheetData>
    <row r="1" spans="1:4">
      <c r="A1" s="4" t="s">
        <v>26</v>
      </c>
      <c r="B1" s="4" t="s">
        <v>27</v>
      </c>
      <c r="C1" s="4" t="s">
        <v>28</v>
      </c>
      <c r="D1" s="4" t="s">
        <v>29</v>
      </c>
    </row>
    <row r="2" spans="1:4">
      <c r="A2" s="5" t="s">
        <v>30</v>
      </c>
      <c r="B2" s="5" t="s">
        <v>31</v>
      </c>
      <c r="C2" s="6">
        <v>0.0089</v>
      </c>
      <c r="D2" s="5" t="str">
        <f>_xlfn.IFS(C2&gt;=t,"C",C2&gt;=t/2,"B",C2&gt;=t/4,"A",TRUE,"S")</f>
        <v>S</v>
      </c>
    </row>
    <row r="3" spans="1:4">
      <c r="A3" s="5" t="s">
        <v>32</v>
      </c>
      <c r="B3" s="5" t="s">
        <v>31</v>
      </c>
      <c r="C3" s="6">
        <v>0.0045</v>
      </c>
      <c r="D3" s="5" t="str">
        <f>_xlfn.IFS(C3&gt;=t,"C",C3&gt;=t/2,"B",C3&gt;=t/4,"A",TRUE,"S")</f>
        <v>S</v>
      </c>
    </row>
    <row r="4" spans="1:4">
      <c r="A4" s="5" t="s">
        <v>33</v>
      </c>
      <c r="B4" s="5" t="s">
        <v>31</v>
      </c>
      <c r="C4" s="6">
        <v>0.008999999999999999</v>
      </c>
      <c r="D4" s="5" t="str">
        <f>_xlfn.IFS(C4&gt;=t,"C",C4&gt;=t/2,"B",C4&gt;=t/4,"A",TRUE,"S")</f>
        <v>S</v>
      </c>
    </row>
    <row r="5" spans="1:4">
      <c r="A5" s="5" t="s">
        <v>34</v>
      </c>
      <c r="B5" s="5" t="s">
        <v>31</v>
      </c>
      <c r="C5" s="6">
        <v>0.0031</v>
      </c>
      <c r="D5" s="5" t="str">
        <f>_xlfn.IFS(C5&gt;=t,"C",C5&gt;=t/2,"B",C5&gt;=t/4,"A",TRUE,"S")</f>
        <v>S</v>
      </c>
    </row>
    <row r="6" spans="1:4">
      <c r="A6" s="5" t="s">
        <v>35</v>
      </c>
      <c r="B6" s="5" t="s">
        <v>31</v>
      </c>
      <c r="C6" s="6">
        <v>0.1483</v>
      </c>
      <c r="D6" s="5" t="str">
        <f>_xlfn.IFS(C6&gt;=t,"C",C6&gt;=t/2,"B",C6&gt;=t/4,"A",TRUE,"S")</f>
        <v>B</v>
      </c>
    </row>
    <row r="7" spans="1:4">
      <c r="A7" s="5" t="s">
        <v>36</v>
      </c>
      <c r="B7" s="5" t="s">
        <v>31</v>
      </c>
      <c r="C7" s="6">
        <v>0.0034</v>
      </c>
      <c r="D7" s="5" t="str">
        <f>_xlfn.IFS(C7&gt;=t,"C",C7&gt;=t/2,"B",C7&gt;=t/4,"A",TRUE,"S")</f>
        <v>S</v>
      </c>
    </row>
    <row r="8" spans="1:4">
      <c r="A8" s="5" t="s">
        <v>37</v>
      </c>
      <c r="B8" s="5" t="s">
        <v>31</v>
      </c>
      <c r="C8" s="6">
        <v>0.009599999999999999</v>
      </c>
      <c r="D8" s="5" t="str">
        <f>_xlfn.IFS(C8&gt;=t,"C",C8&gt;=t/2,"B",C8&gt;=t/4,"A",TRUE,"S")</f>
        <v>S</v>
      </c>
    </row>
    <row r="9" spans="1:4">
      <c r="A9" s="5" t="s">
        <v>38</v>
      </c>
      <c r="B9" s="5" t="s">
        <v>31</v>
      </c>
      <c r="C9" s="6">
        <v>0.3707</v>
      </c>
      <c r="D9" s="5" t="str">
        <f>_xlfn.IFS(C9&gt;=t,"C",C9&gt;=t/2,"B",C9&gt;=t/4,"A",TRUE,"S")</f>
        <v>C</v>
      </c>
    </row>
    <row r="10" spans="1:4">
      <c r="A10" s="5" t="s">
        <v>39</v>
      </c>
      <c r="B10" s="5" t="s">
        <v>31</v>
      </c>
      <c r="C10" s="6">
        <v>0.0048</v>
      </c>
      <c r="D10" s="5" t="str">
        <f>_xlfn.IFS(C10&gt;=t,"C",C10&gt;=t/2,"B",C10&gt;=t/4,"A",TRUE,"S")</f>
        <v>S</v>
      </c>
    </row>
    <row r="11" spans="1:4">
      <c r="A11" s="5" t="s">
        <v>40</v>
      </c>
      <c r="B11" s="5" t="s">
        <v>31</v>
      </c>
      <c r="C11" s="6">
        <v>0.003</v>
      </c>
      <c r="D11" s="5" t="str">
        <f>_xlfn.IFS(C11&gt;=t,"C",C11&gt;=t/2,"B",C11&gt;=t/4,"A",TRUE,"S")</f>
        <v>S</v>
      </c>
    </row>
    <row r="12" spans="1:4">
      <c r="A12" s="5" t="s">
        <v>41</v>
      </c>
      <c r="B12" s="5" t="s">
        <v>31</v>
      </c>
      <c r="C12" s="6">
        <v>0.0033</v>
      </c>
      <c r="D12" s="5" t="str">
        <f>_xlfn.IFS(C12&gt;=t,"C",C12&gt;=t/2,"B",C12&gt;=t/4,"A",TRUE,"S")</f>
        <v>S</v>
      </c>
    </row>
    <row r="13" spans="1:4">
      <c r="A13" s="5" t="s">
        <v>42</v>
      </c>
      <c r="B13" s="5" t="s">
        <v>31</v>
      </c>
      <c r="C13" s="6">
        <v>0.0031</v>
      </c>
      <c r="D13" s="5" t="str">
        <f>_xlfn.IFS(C13&gt;=t,"C",C13&gt;=t/2,"B",C13&gt;=t/4,"A",TRUE,"S")</f>
        <v>S</v>
      </c>
    </row>
    <row r="14" spans="1:4">
      <c r="A14" s="5" t="s">
        <v>43</v>
      </c>
      <c r="B14" s="5" t="s">
        <v>31</v>
      </c>
      <c r="C14" s="6">
        <v>0.0033</v>
      </c>
      <c r="D14" s="5" t="str">
        <f>_xlfn.IFS(C14&gt;=t,"C",C14&gt;=t/2,"B",C14&gt;=t/4,"A",TRUE,"S")</f>
        <v>S</v>
      </c>
    </row>
    <row r="15" spans="1:4">
      <c r="A15" s="5" t="s">
        <v>44</v>
      </c>
      <c r="B15" s="5" t="s">
        <v>31</v>
      </c>
      <c r="C15" s="6">
        <v>0.0031</v>
      </c>
      <c r="D15" s="5" t="str">
        <f>_xlfn.IFS(C15&gt;=t,"C",C15&gt;=t/2,"B",C15&gt;=t/4,"A",TRUE,"S")</f>
        <v>S</v>
      </c>
    </row>
    <row r="16" spans="1:4">
      <c r="A16" s="5" t="s">
        <v>45</v>
      </c>
      <c r="B16" s="5" t="s">
        <v>31</v>
      </c>
      <c r="C16" s="6">
        <v>0.0044</v>
      </c>
      <c r="D16" s="5" t="str">
        <f>_xlfn.IFS(C16&gt;=t,"C",C16&gt;=t/2,"B",C16&gt;=t/4,"A",TRUE,"S")</f>
        <v>S</v>
      </c>
    </row>
    <row r="17" spans="1:4">
      <c r="A17" s="5" t="s">
        <v>46</v>
      </c>
      <c r="B17" s="5" t="s">
        <v>31</v>
      </c>
      <c r="C17" s="6">
        <v>0.0034</v>
      </c>
      <c r="D17" s="5" t="str">
        <f>_xlfn.IFS(C17&gt;=t,"C",C17&gt;=t/2,"B",C17&gt;=t/4,"A",TRUE,"S")</f>
        <v>S</v>
      </c>
    </row>
    <row r="18" spans="1:4">
      <c r="A18" s="5" t="s">
        <v>47</v>
      </c>
      <c r="B18" s="5" t="s">
        <v>31</v>
      </c>
      <c r="C18" s="6">
        <v>0.0076</v>
      </c>
      <c r="D18" s="5" t="str">
        <f>_xlfn.IFS(C18&gt;=t,"C",C18&gt;=t/2,"B",C18&gt;=t/4,"A",TRUE,"S")</f>
        <v>S</v>
      </c>
    </row>
    <row r="19" spans="1:4">
      <c r="A19" s="5" t="s">
        <v>48</v>
      </c>
      <c r="B19" s="5" t="s">
        <v>31</v>
      </c>
      <c r="C19" s="6">
        <v>0.004</v>
      </c>
      <c r="D19" s="5" t="str">
        <f>_xlfn.IFS(C19&gt;=t,"C",C19&gt;=t/2,"B",C19&gt;=t/4,"A",TRUE,"S")</f>
        <v>S</v>
      </c>
    </row>
    <row r="20" spans="1:4">
      <c r="A20" s="5" t="s">
        <v>49</v>
      </c>
      <c r="B20" s="5" t="s">
        <v>31</v>
      </c>
      <c r="C20" s="6">
        <v>0.0077</v>
      </c>
      <c r="D20" s="5" t="str">
        <f>_xlfn.IFS(C20&gt;=t,"C",C20&gt;=t/2,"B",C20&gt;=t/4,"A",TRUE,"S")</f>
        <v>S</v>
      </c>
    </row>
    <row r="21" spans="1:4">
      <c r="A21" s="5" t="s">
        <v>50</v>
      </c>
      <c r="B21" s="5" t="s">
        <v>31</v>
      </c>
      <c r="C21" s="6">
        <v>0.0031</v>
      </c>
      <c r="D21" s="5" t="str">
        <f>_xlfn.IFS(C21&gt;=t,"C",C21&gt;=t/2,"B",C21&gt;=t/4,"A",TRUE,"S")</f>
        <v>S</v>
      </c>
    </row>
    <row r="22" spans="1:4">
      <c r="A22" s="5" t="s">
        <v>51</v>
      </c>
      <c r="B22" s="5" t="s">
        <v>31</v>
      </c>
      <c r="C22" s="6">
        <v>0.0044</v>
      </c>
      <c r="D22" s="5" t="str">
        <f>_xlfn.IFS(C22&gt;=t,"C",C22&gt;=t/2,"B",C22&gt;=t/4,"A",TRUE,"S")</f>
        <v>S</v>
      </c>
    </row>
    <row r="23" spans="1:4">
      <c r="A23" s="5" t="s">
        <v>52</v>
      </c>
      <c r="B23" s="5" t="s">
        <v>31</v>
      </c>
      <c r="C23" s="6">
        <v>0.0449</v>
      </c>
      <c r="D23" s="5" t="str">
        <f>_xlfn.IFS(C23&gt;=t,"C",C23&gt;=t/2,"B",C23&gt;=t/4,"A",TRUE,"S")</f>
        <v>A</v>
      </c>
    </row>
    <row r="24" spans="1:4">
      <c r="A24" s="5" t="s">
        <v>53</v>
      </c>
      <c r="B24" s="5" t="s">
        <v>31</v>
      </c>
      <c r="C24" s="6">
        <v>0.0103</v>
      </c>
      <c r="D24" s="5" t="str">
        <f>_xlfn.IFS(C24&gt;=t,"C",C24&gt;=t/2,"B",C24&gt;=t/4,"A",TRUE,"S")</f>
        <v>S</v>
      </c>
    </row>
    <row r="25" spans="1:4">
      <c r="A25" s="5" t="s">
        <v>54</v>
      </c>
      <c r="B25" s="5" t="s">
        <v>31</v>
      </c>
      <c r="C25" s="6">
        <v>0.0032</v>
      </c>
      <c r="D25" s="5" t="str">
        <f>_xlfn.IFS(C25&gt;=t,"C",C25&gt;=t/2,"B",C25&gt;=t/4,"A",TRUE,"S")</f>
        <v>S</v>
      </c>
    </row>
    <row r="26" spans="1:4">
      <c r="A26" s="5" t="s">
        <v>55</v>
      </c>
      <c r="B26" s="5" t="s">
        <v>31</v>
      </c>
      <c r="C26" s="6">
        <v>0.0045</v>
      </c>
      <c r="D26" s="5" t="str">
        <f>_xlfn.IFS(C26&gt;=t,"C",C26&gt;=t/2,"B",C26&gt;=t/4,"A",TRUE,"S")</f>
        <v>S</v>
      </c>
    </row>
    <row r="27" spans="1:4">
      <c r="A27" s="5" t="s">
        <v>56</v>
      </c>
      <c r="B27" s="5" t="s">
        <v>31</v>
      </c>
      <c r="C27" s="6">
        <v>0.0037</v>
      </c>
      <c r="D27" s="5" t="str">
        <f>_xlfn.IFS(C27&gt;=t,"C",C27&gt;=t/2,"B",C27&gt;=t/4,"A",TRUE,"S")</f>
        <v>S</v>
      </c>
    </row>
    <row r="28" spans="1:4">
      <c r="A28" s="5" t="s">
        <v>57</v>
      </c>
      <c r="B28" s="5" t="s">
        <v>31</v>
      </c>
      <c r="C28" s="6">
        <v>0.003</v>
      </c>
      <c r="D28" s="5" t="str">
        <f>_xlfn.IFS(C28&gt;=t,"C",C28&gt;=t/2,"B",C28&gt;=t/4,"A",TRUE,"S")</f>
        <v>S</v>
      </c>
    </row>
    <row r="29" spans="1:4">
      <c r="A29" s="5" t="s">
        <v>58</v>
      </c>
      <c r="B29" s="5" t="s">
        <v>31</v>
      </c>
      <c r="C29" s="6">
        <v>0.0055</v>
      </c>
      <c r="D29" s="5" t="str">
        <f>_xlfn.IFS(C29&gt;=t,"C",C29&gt;=t/2,"B",C29&gt;=t/4,"A",TRUE,"S")</f>
        <v>S</v>
      </c>
    </row>
    <row r="30" spans="1:4">
      <c r="A30" s="5" t="s">
        <v>59</v>
      </c>
      <c r="B30" s="5" t="s">
        <v>31</v>
      </c>
      <c r="C30" s="6">
        <v>0.0111</v>
      </c>
      <c r="D30" s="5" t="str">
        <f>_xlfn.IFS(C30&gt;=t,"C",C30&gt;=t/2,"B",C30&gt;=t/4,"A",TRUE,"S")</f>
        <v>S</v>
      </c>
    </row>
    <row r="31" spans="1:4">
      <c r="A31" s="5" t="s">
        <v>60</v>
      </c>
      <c r="B31" s="5" t="s">
        <v>31</v>
      </c>
      <c r="C31" s="6">
        <v>0.0111</v>
      </c>
      <c r="D31" s="5" t="str">
        <f>_xlfn.IFS(C31&gt;=t,"C",C31&gt;=t/2,"B",C31&gt;=t/4,"A",TRUE,"S")</f>
        <v>S</v>
      </c>
    </row>
    <row r="32" spans="1:4">
      <c r="A32" s="5" t="s">
        <v>61</v>
      </c>
      <c r="B32" s="5" t="s">
        <v>31</v>
      </c>
      <c r="C32" s="6">
        <v>0.6935</v>
      </c>
      <c r="D32" s="5" t="str">
        <f>_xlfn.IFS(C32&gt;=t,"C",C32&gt;=t/2,"B",C32&gt;=t/4,"A",TRUE,"S")</f>
        <v>C</v>
      </c>
    </row>
    <row r="33" spans="1:4">
      <c r="A33" s="5" t="s">
        <v>62</v>
      </c>
      <c r="B33" s="5" t="s">
        <v>31</v>
      </c>
      <c r="C33" s="6">
        <v>0.005</v>
      </c>
      <c r="D33" s="5" t="str">
        <f>_xlfn.IFS(C33&gt;=t,"C",C33&gt;=t/2,"B",C33&gt;=t/4,"A",TRUE,"S")</f>
        <v>S</v>
      </c>
    </row>
    <row r="34" spans="1:4">
      <c r="A34" s="5" t="s">
        <v>63</v>
      </c>
      <c r="B34" s="5" t="s">
        <v>31</v>
      </c>
      <c r="C34" s="6">
        <v>0.0033</v>
      </c>
      <c r="D34" s="5" t="str">
        <f>_xlfn.IFS(C34&gt;=t,"C",C34&gt;=t/2,"B",C34&gt;=t/4,"A",TRUE,"S")</f>
        <v>S</v>
      </c>
    </row>
    <row r="35" spans="1:4">
      <c r="A35" s="5" t="s">
        <v>64</v>
      </c>
      <c r="B35" s="5" t="s">
        <v>31</v>
      </c>
      <c r="C35" s="6">
        <v>0.0052</v>
      </c>
      <c r="D35" s="5" t="str">
        <f>_xlfn.IFS(C35&gt;=t,"C",C35&gt;=t/2,"B",C35&gt;=t/4,"A",TRUE,"S")</f>
        <v>S</v>
      </c>
    </row>
    <row r="36" spans="1:4">
      <c r="A36" s="5" t="s">
        <v>65</v>
      </c>
      <c r="B36" s="5" t="s">
        <v>31</v>
      </c>
      <c r="C36" s="6">
        <v>0.003</v>
      </c>
      <c r="D36" s="5" t="str">
        <f>_xlfn.IFS(C36&gt;=t,"C",C36&gt;=t/2,"B",C36&gt;=t/4,"A",TRUE,"S")</f>
        <v>S</v>
      </c>
    </row>
    <row r="37" spans="1:4">
      <c r="A37" s="5" t="s">
        <v>66</v>
      </c>
      <c r="B37" s="5" t="s">
        <v>31</v>
      </c>
      <c r="C37" s="6">
        <v>0.0031</v>
      </c>
      <c r="D37" s="5" t="str">
        <f>_xlfn.IFS(C37&gt;=t,"C",C37&gt;=t/2,"B",C37&gt;=t/4,"A",TRUE,"S")</f>
        <v>S</v>
      </c>
    </row>
    <row r="38" spans="1:4">
      <c r="A38" s="5" t="s">
        <v>67</v>
      </c>
      <c r="B38" s="5" t="s">
        <v>31</v>
      </c>
      <c r="C38" s="6">
        <v>0.005</v>
      </c>
      <c r="D38" s="5" t="str">
        <f>_xlfn.IFS(C38&gt;=t,"C",C38&gt;=t/2,"B",C38&gt;=t/4,"A",TRUE,"S")</f>
        <v>S</v>
      </c>
    </row>
    <row r="39" spans="1:4">
      <c r="A39" s="5" t="s">
        <v>68</v>
      </c>
      <c r="B39" s="5" t="s">
        <v>31</v>
      </c>
      <c r="C39" s="6">
        <v>0.0031</v>
      </c>
      <c r="D39" s="5" t="str">
        <f>_xlfn.IFS(C39&gt;=t,"C",C39&gt;=t/2,"B",C39&gt;=t/4,"A",TRUE,"S")</f>
        <v>S</v>
      </c>
    </row>
    <row r="40" spans="1:4">
      <c r="A40" s="5" t="s">
        <v>69</v>
      </c>
      <c r="B40" s="5" t="s">
        <v>31</v>
      </c>
      <c r="C40" s="6">
        <v>0.0049</v>
      </c>
      <c r="D40" s="5" t="str">
        <f>_xlfn.IFS(C40&gt;=t,"C",C40&gt;=t/2,"B",C40&gt;=t/4,"A",TRUE,"S")</f>
        <v>S</v>
      </c>
    </row>
    <row r="41" spans="1:4">
      <c r="A41" s="5" t="s">
        <v>70</v>
      </c>
      <c r="B41" s="5" t="s">
        <v>31</v>
      </c>
      <c r="C41" s="6">
        <v>0.0041</v>
      </c>
      <c r="D41" s="5" t="str">
        <f>_xlfn.IFS(C41&gt;=t,"C",C41&gt;=t/2,"B",C41&gt;=t/4,"A",TRUE,"S")</f>
        <v>S</v>
      </c>
    </row>
    <row r="42" spans="1:4">
      <c r="A42" s="5" t="s">
        <v>71</v>
      </c>
      <c r="B42" s="5" t="s">
        <v>31</v>
      </c>
      <c r="C42" s="6">
        <v>0.3284</v>
      </c>
      <c r="D42" s="5" t="str">
        <f>_xlfn.IFS(C42&gt;=t,"C",C42&gt;=t/2,"B",C42&gt;=t/4,"A",TRUE,"S")</f>
        <v>C</v>
      </c>
    </row>
    <row r="43" spans="1:4">
      <c r="A43" s="5" t="s">
        <v>72</v>
      </c>
      <c r="B43" s="5" t="s">
        <v>31</v>
      </c>
      <c r="C43" s="6">
        <v>0.0031</v>
      </c>
      <c r="D43" s="5" t="str">
        <f>_xlfn.IFS(C43&gt;=t,"C",C43&gt;=t/2,"B",C43&gt;=t/4,"A",TRUE,"S")</f>
        <v>S</v>
      </c>
    </row>
    <row r="44" spans="1:4">
      <c r="A44" s="5" t="s">
        <v>73</v>
      </c>
      <c r="B44" s="5" t="s">
        <v>31</v>
      </c>
      <c r="C44" s="6">
        <v>0.0048</v>
      </c>
      <c r="D44" s="5" t="str">
        <f>_xlfn.IFS(C44&gt;=t,"C",C44&gt;=t/2,"B",C44&gt;=t/4,"A",TRUE,"S")</f>
        <v>S</v>
      </c>
    </row>
    <row r="45" spans="1:4">
      <c r="A45" s="5" t="s">
        <v>74</v>
      </c>
      <c r="B45" s="5" t="s">
        <v>31</v>
      </c>
      <c r="C45" s="6">
        <v>0.0532</v>
      </c>
      <c r="D45" s="5" t="str">
        <f>_xlfn.IFS(C45&gt;=t,"C",C45&gt;=t/2,"B",C45&gt;=t/4,"A",TRUE,"S")</f>
        <v>A</v>
      </c>
    </row>
    <row r="46" spans="1:4">
      <c r="A46" s="5" t="s">
        <v>75</v>
      </c>
      <c r="B46" s="5" t="s">
        <v>31</v>
      </c>
      <c r="C46" s="6">
        <v>0.0039</v>
      </c>
      <c r="D46" s="5" t="str">
        <f>_xlfn.IFS(C46&gt;=t,"C",C46&gt;=t/2,"B",C46&gt;=t/4,"A",TRUE,"S")</f>
        <v>S</v>
      </c>
    </row>
    <row r="47" spans="1:4">
      <c r="A47" s="5" t="s">
        <v>76</v>
      </c>
      <c r="B47" s="5" t="s">
        <v>31</v>
      </c>
      <c r="C47" s="6">
        <v>0.0033</v>
      </c>
      <c r="D47" s="5" t="str">
        <f>_xlfn.IFS(C47&gt;=t,"C",C47&gt;=t/2,"B",C47&gt;=t/4,"A",TRUE,"S")</f>
        <v>S</v>
      </c>
    </row>
    <row r="48" spans="1:4">
      <c r="A48" s="5" t="s">
        <v>77</v>
      </c>
      <c r="B48" s="5" t="s">
        <v>31</v>
      </c>
      <c r="C48" s="6">
        <v>0.6739000000000001</v>
      </c>
      <c r="D48" s="5" t="str">
        <f>_xlfn.IFS(C48&gt;=t,"C",C48&gt;=t/2,"B",C48&gt;=t/4,"A",TRUE,"S")</f>
        <v>C</v>
      </c>
    </row>
    <row r="49" spans="1:4">
      <c r="A49" s="5" t="s">
        <v>78</v>
      </c>
      <c r="B49" s="5" t="s">
        <v>31</v>
      </c>
      <c r="C49" s="6">
        <v>0.7699</v>
      </c>
      <c r="D49" s="5" t="str">
        <f>_xlfn.IFS(C49&gt;=t,"C",C49&gt;=t/2,"B",C49&gt;=t/4,"A",TRUE,"S")</f>
        <v>C</v>
      </c>
    </row>
    <row r="50" spans="1:4">
      <c r="A50" s="5" t="s">
        <v>79</v>
      </c>
      <c r="B50" s="5" t="s">
        <v>31</v>
      </c>
      <c r="C50" s="6">
        <v>0.0328</v>
      </c>
      <c r="D50" s="5" t="str">
        <f>_xlfn.IFS(C50&gt;=t,"C",C50&gt;=t/2,"B",C50&gt;=t/4,"A",TRUE,"S")</f>
        <v>S</v>
      </c>
    </row>
    <row r="51" spans="1:4">
      <c r="A51" s="5" t="s">
        <v>80</v>
      </c>
      <c r="B51" s="5" t="s">
        <v>31</v>
      </c>
      <c r="C51" s="6">
        <v>0.0103</v>
      </c>
      <c r="D51" s="5" t="str">
        <f>_xlfn.IFS(C51&gt;=t,"C",C51&gt;=t/2,"B",C51&gt;=t/4,"A",TRUE,"S")</f>
        <v>S</v>
      </c>
    </row>
    <row r="52" spans="1:4">
      <c r="A52" s="5" t="s">
        <v>81</v>
      </c>
      <c r="B52" s="5" t="s">
        <v>31</v>
      </c>
      <c r="C52" s="6">
        <v>0.0078</v>
      </c>
      <c r="D52" s="5" t="str">
        <f>_xlfn.IFS(C52&gt;=t,"C",C52&gt;=t/2,"B",C52&gt;=t/4,"A",TRUE,"S")</f>
        <v>S</v>
      </c>
    </row>
    <row r="53" spans="1:4">
      <c r="A53" s="5" t="s">
        <v>82</v>
      </c>
      <c r="B53" s="5" t="s">
        <v>31</v>
      </c>
      <c r="C53" s="6">
        <v>0.003</v>
      </c>
      <c r="D53" s="5" t="str">
        <f>_xlfn.IFS(C53&gt;=t,"C",C53&gt;=t/2,"B",C53&gt;=t/4,"A",TRUE,"S")</f>
        <v>S</v>
      </c>
    </row>
    <row r="54" spans="1:4">
      <c r="A54" s="5" t="s">
        <v>83</v>
      </c>
      <c r="B54" s="5" t="s">
        <v>31</v>
      </c>
      <c r="C54" s="6">
        <v>0.013</v>
      </c>
      <c r="D54" s="5" t="str">
        <f>_xlfn.IFS(C54&gt;=t,"C",C54&gt;=t/2,"B",C54&gt;=t/4,"A",TRUE,"S")</f>
        <v>S</v>
      </c>
    </row>
    <row r="55" spans="1:4">
      <c r="A55" s="5" t="s">
        <v>84</v>
      </c>
      <c r="B55" s="5" t="s">
        <v>31</v>
      </c>
      <c r="C55" s="6">
        <v>0.0089</v>
      </c>
      <c r="D55" s="5" t="str">
        <f>_xlfn.IFS(C55&gt;=t,"C",C55&gt;=t/2,"B",C55&gt;=t/4,"A",TRUE,"S")</f>
        <v>S</v>
      </c>
    </row>
    <row r="56" spans="1:4">
      <c r="A56" s="5" t="s">
        <v>85</v>
      </c>
      <c r="B56" s="5" t="s">
        <v>31</v>
      </c>
      <c r="C56" s="6">
        <v>0.0057</v>
      </c>
      <c r="D56" s="5" t="str">
        <f>_xlfn.IFS(C56&gt;=t,"C",C56&gt;=t/2,"B",C56&gt;=t/4,"A",TRUE,"S")</f>
        <v>S</v>
      </c>
    </row>
    <row r="57" spans="1:4">
      <c r="A57" s="5" t="s">
        <v>86</v>
      </c>
      <c r="B57" s="5" t="s">
        <v>31</v>
      </c>
      <c r="C57" s="6">
        <v>0.0106</v>
      </c>
      <c r="D57" s="5" t="str">
        <f>_xlfn.IFS(C57&gt;=t,"C",C57&gt;=t/2,"B",C57&gt;=t/4,"A",TRUE,"S")</f>
        <v>S</v>
      </c>
    </row>
    <row r="58" spans="1:4">
      <c r="A58" s="5" t="s">
        <v>87</v>
      </c>
      <c r="B58" s="5" t="s">
        <v>31</v>
      </c>
      <c r="C58" s="6">
        <v>0.0055</v>
      </c>
      <c r="D58" s="5" t="str">
        <f>_xlfn.IFS(C58&gt;=t,"C",C58&gt;=t/2,"B",C58&gt;=t/4,"A",TRUE,"S")</f>
        <v>S</v>
      </c>
    </row>
    <row r="59" spans="1:4">
      <c r="A59" s="5" t="s">
        <v>88</v>
      </c>
      <c r="B59" s="5" t="s">
        <v>31</v>
      </c>
      <c r="C59" s="6">
        <v>0.0053</v>
      </c>
      <c r="D59" s="5" t="str">
        <f>_xlfn.IFS(C59&gt;=t,"C",C59&gt;=t/2,"B",C59&gt;=t/4,"A",TRUE,"S")</f>
        <v>S</v>
      </c>
    </row>
    <row r="60" spans="1:4">
      <c r="A60" s="5" t="s">
        <v>89</v>
      </c>
      <c r="B60" s="5" t="s">
        <v>31</v>
      </c>
      <c r="C60" s="6">
        <v>0.4139</v>
      </c>
      <c r="D60" s="5" t="str">
        <f>_xlfn.IFS(C60&gt;=t,"C",C60&gt;=t/2,"B",C60&gt;=t/4,"A",TRUE,"S")</f>
        <v>C</v>
      </c>
    </row>
    <row r="61" spans="1:4">
      <c r="A61" s="5" t="s">
        <v>90</v>
      </c>
      <c r="B61" s="5" t="s">
        <v>31</v>
      </c>
      <c r="C61" s="6">
        <v>0.0034</v>
      </c>
      <c r="D61" s="5" t="str">
        <f>_xlfn.IFS(C61&gt;=t,"C",C61&gt;=t/2,"B",C61&gt;=t/4,"A",TRUE,"S")</f>
        <v>S</v>
      </c>
    </row>
    <row r="62" spans="1:4">
      <c r="A62" s="5" t="s">
        <v>91</v>
      </c>
      <c r="B62" s="5" t="s">
        <v>31</v>
      </c>
      <c r="C62" s="6">
        <v>0.0033</v>
      </c>
      <c r="D62" s="5" t="str">
        <f>_xlfn.IFS(C62&gt;=t,"C",C62&gt;=t/2,"B",C62&gt;=t/4,"A",TRUE,"S")</f>
        <v>S</v>
      </c>
    </row>
    <row r="63" spans="1:4">
      <c r="A63" s="5" t="s">
        <v>92</v>
      </c>
      <c r="B63" s="5" t="s">
        <v>31</v>
      </c>
      <c r="C63" s="6">
        <v>0.5548999999999999</v>
      </c>
      <c r="D63" s="5" t="str">
        <f>_xlfn.IFS(C63&gt;=t,"C",C63&gt;=t/2,"B",C63&gt;=t/4,"A",TRUE,"S")</f>
        <v>C</v>
      </c>
    </row>
    <row r="64" spans="1:4">
      <c r="A64" s="5" t="s">
        <v>93</v>
      </c>
      <c r="B64" s="5" t="s">
        <v>31</v>
      </c>
      <c r="C64" s="6">
        <v>0.003</v>
      </c>
      <c r="D64" s="5" t="str">
        <f>_xlfn.IFS(C64&gt;=t,"C",C64&gt;=t/2,"B",C64&gt;=t/4,"A",TRUE,"S")</f>
        <v>S</v>
      </c>
    </row>
    <row r="65" spans="1:4">
      <c r="A65" s="5" t="s">
        <v>94</v>
      </c>
      <c r="B65" s="5" t="s">
        <v>31</v>
      </c>
      <c r="C65" s="6">
        <v>0.0032</v>
      </c>
      <c r="D65" s="5" t="str">
        <f>_xlfn.IFS(C65&gt;=t,"C",C65&gt;=t/2,"B",C65&gt;=t/4,"A",TRUE,"S")</f>
        <v>S</v>
      </c>
    </row>
    <row r="66" spans="1:4">
      <c r="A66" s="5" t="s">
        <v>95</v>
      </c>
      <c r="B66" s="5" t="s">
        <v>31</v>
      </c>
      <c r="C66" s="6">
        <v>0.0032</v>
      </c>
      <c r="D66" s="5" t="str">
        <f>_xlfn.IFS(C66&gt;=t,"C",C66&gt;=t/2,"B",C66&gt;=t/4,"A",TRUE,"S")</f>
        <v>S</v>
      </c>
    </row>
    <row r="67" spans="1:4">
      <c r="A67" s="5" t="s">
        <v>96</v>
      </c>
      <c r="B67" s="5" t="s">
        <v>31</v>
      </c>
      <c r="C67" s="6">
        <v>0.5416</v>
      </c>
      <c r="D67" s="5" t="str">
        <f>_xlfn.IFS(C67&gt;=t,"C",C67&gt;=t/2,"B",C67&gt;=t/4,"A",TRUE,"S")</f>
        <v>C</v>
      </c>
    </row>
    <row r="68" spans="1:4">
      <c r="A68" s="5" t="s">
        <v>97</v>
      </c>
      <c r="B68" s="5" t="s">
        <v>31</v>
      </c>
      <c r="C68" s="6">
        <v>0.0033</v>
      </c>
      <c r="D68" s="5" t="str">
        <f>_xlfn.IFS(C68&gt;=t,"C",C68&gt;=t/2,"B",C68&gt;=t/4,"A",TRUE,"S")</f>
        <v>S</v>
      </c>
    </row>
    <row r="69" spans="1:4">
      <c r="A69" s="5" t="s">
        <v>98</v>
      </c>
      <c r="B69" s="5" t="s">
        <v>31</v>
      </c>
      <c r="C69" s="6">
        <v>0.0184</v>
      </c>
      <c r="D69" s="5" t="str">
        <f>_xlfn.IFS(C69&gt;=t,"C",C69&gt;=t/2,"B",C69&gt;=t/4,"A",TRUE,"S")</f>
        <v>S</v>
      </c>
    </row>
    <row r="70" spans="1:4">
      <c r="A70" s="5" t="s">
        <v>99</v>
      </c>
      <c r="B70" s="5" t="s">
        <v>31</v>
      </c>
      <c r="C70" s="6">
        <v>0.003</v>
      </c>
      <c r="D70" s="5" t="str">
        <f>_xlfn.IFS(C70&gt;=t,"C",C70&gt;=t/2,"B",C70&gt;=t/4,"A",TRUE,"S")</f>
        <v>S</v>
      </c>
    </row>
    <row r="71" spans="1:4">
      <c r="A71" s="5" t="s">
        <v>100</v>
      </c>
      <c r="B71" s="5" t="s">
        <v>31</v>
      </c>
      <c r="C71" s="6">
        <v>0.0032</v>
      </c>
      <c r="D71" s="5" t="str">
        <f>_xlfn.IFS(C71&gt;=t,"C",C71&gt;=t/2,"B",C71&gt;=t/4,"A",TRUE,"S")</f>
        <v>S</v>
      </c>
    </row>
    <row r="72" spans="1:4">
      <c r="A72" s="5" t="s">
        <v>101</v>
      </c>
      <c r="B72" s="5" t="s">
        <v>31</v>
      </c>
      <c r="C72" s="6">
        <v>0.0946</v>
      </c>
      <c r="D72" s="5" t="str">
        <f>_xlfn.IFS(C72&gt;=t,"C",C72&gt;=t/2,"B",C72&gt;=t/4,"A",TRUE,"S")</f>
        <v>B</v>
      </c>
    </row>
    <row r="73" spans="1:4">
      <c r="A73" s="5" t="s">
        <v>102</v>
      </c>
      <c r="B73" s="5" t="s">
        <v>31</v>
      </c>
      <c r="C73" s="6">
        <v>0.013</v>
      </c>
      <c r="D73" s="5" t="str">
        <f>_xlfn.IFS(C73&gt;=t,"C",C73&gt;=t/2,"B",C73&gt;=t/4,"A",TRUE,"S")</f>
        <v>S</v>
      </c>
    </row>
    <row r="74" spans="1:4">
      <c r="A74" s="5" t="s">
        <v>103</v>
      </c>
      <c r="B74" s="5" t="s">
        <v>31</v>
      </c>
      <c r="C74" s="6">
        <v>0.3354</v>
      </c>
      <c r="D74" s="5" t="str">
        <f>_xlfn.IFS(C74&gt;=t,"C",C74&gt;=t/2,"B",C74&gt;=t/4,"A",TRUE,"S")</f>
        <v>C</v>
      </c>
    </row>
    <row r="75" spans="1:4">
      <c r="A75" s="5" t="s">
        <v>104</v>
      </c>
      <c r="B75" s="5" t="s">
        <v>31</v>
      </c>
      <c r="C75" s="6">
        <v>0.0067</v>
      </c>
      <c r="D75" s="5" t="str">
        <f>_xlfn.IFS(C75&gt;=t,"C",C75&gt;=t/2,"B",C75&gt;=t/4,"A",TRUE,"S")</f>
        <v>S</v>
      </c>
    </row>
    <row r="76" spans="1:4">
      <c r="A76" s="5" t="s">
        <v>105</v>
      </c>
      <c r="B76" s="5" t="s">
        <v>31</v>
      </c>
      <c r="C76" s="6">
        <v>0.2615</v>
      </c>
      <c r="D76" s="5" t="str">
        <f>_xlfn.IFS(C76&gt;=t,"C",C76&gt;=t/2,"B",C76&gt;=t/4,"A",TRUE,"S")</f>
        <v>C</v>
      </c>
    </row>
    <row r="77" spans="1:4">
      <c r="A77" s="5" t="s">
        <v>106</v>
      </c>
      <c r="B77" s="5" t="s">
        <v>31</v>
      </c>
      <c r="C77" s="6">
        <v>0.0062</v>
      </c>
      <c r="D77" s="5" t="str">
        <f>_xlfn.IFS(C77&gt;=t,"C",C77&gt;=t/2,"B",C77&gt;=t/4,"A",TRUE,"S")</f>
        <v>S</v>
      </c>
    </row>
    <row r="78" spans="1:4">
      <c r="A78" s="5" t="s">
        <v>107</v>
      </c>
      <c r="B78" s="5" t="s">
        <v>31</v>
      </c>
      <c r="C78" s="6">
        <v>0.0033</v>
      </c>
      <c r="D78" s="5" t="str">
        <f>_xlfn.IFS(C78&gt;=t,"C",C78&gt;=t/2,"B",C78&gt;=t/4,"A",TRUE,"S")</f>
        <v>S</v>
      </c>
    </row>
    <row r="79" spans="1:4">
      <c r="A79" s="5" t="s">
        <v>108</v>
      </c>
      <c r="B79" s="5" t="s">
        <v>31</v>
      </c>
      <c r="C79" s="6">
        <v>0.008800000000000001</v>
      </c>
      <c r="D79" s="5" t="str">
        <f>_xlfn.IFS(C79&gt;=t,"C",C79&gt;=t/2,"B",C79&gt;=t/4,"A",TRUE,"S")</f>
        <v>S</v>
      </c>
    </row>
    <row r="80" spans="1:4">
      <c r="A80" s="5" t="s">
        <v>109</v>
      </c>
      <c r="B80" s="5" t="s">
        <v>31</v>
      </c>
      <c r="C80" s="6">
        <v>0.0032</v>
      </c>
      <c r="D80" s="5" t="str">
        <f>_xlfn.IFS(C80&gt;=t,"C",C80&gt;=t/2,"B",C80&gt;=t/4,"A",TRUE,"S")</f>
        <v>S</v>
      </c>
    </row>
    <row r="81" spans="1:4">
      <c r="A81" s="5" t="s">
        <v>110</v>
      </c>
      <c r="B81" s="5" t="s">
        <v>31</v>
      </c>
      <c r="C81" s="6">
        <v>0.0062</v>
      </c>
      <c r="D81" s="5" t="str">
        <f>_xlfn.IFS(C81&gt;=t,"C",C81&gt;=t/2,"B",C81&gt;=t/4,"A",TRUE,"S")</f>
        <v>S</v>
      </c>
    </row>
    <row r="82" spans="1:4">
      <c r="A82" s="5" t="s">
        <v>111</v>
      </c>
      <c r="B82" s="5" t="s">
        <v>31</v>
      </c>
      <c r="C82" s="6">
        <v>0.0032</v>
      </c>
      <c r="D82" s="5" t="str">
        <f>_xlfn.IFS(C82&gt;=t,"C",C82&gt;=t/2,"B",C82&gt;=t/4,"A",TRUE,"S")</f>
        <v>S</v>
      </c>
    </row>
    <row r="83" spans="1:4">
      <c r="A83" s="5" t="s">
        <v>112</v>
      </c>
      <c r="B83" s="5" t="s">
        <v>31</v>
      </c>
      <c r="C83" s="6">
        <v>0.006</v>
      </c>
      <c r="D83" s="5" t="str">
        <f>_xlfn.IFS(C83&gt;=t,"C",C83&gt;=t/2,"B",C83&gt;=t/4,"A",TRUE,"S")</f>
        <v>S</v>
      </c>
    </row>
    <row r="84" spans="1:4">
      <c r="A84" s="5" t="s">
        <v>113</v>
      </c>
      <c r="B84" s="5" t="s">
        <v>31</v>
      </c>
      <c r="C84" s="6">
        <v>0.0416</v>
      </c>
      <c r="D84" s="5" t="str">
        <f>_xlfn.IFS(C84&gt;=t,"C",C84&gt;=t/2,"B",C84&gt;=t/4,"A",TRUE,"S")</f>
        <v>S</v>
      </c>
    </row>
    <row r="85" spans="1:4">
      <c r="A85" s="5" t="s">
        <v>114</v>
      </c>
      <c r="B85" s="5" t="s">
        <v>31</v>
      </c>
      <c r="C85" s="6">
        <v>0.0107</v>
      </c>
      <c r="D85" s="5" t="str">
        <f>_xlfn.IFS(C85&gt;=t,"C",C85&gt;=t/2,"B",C85&gt;=t/4,"A",TRUE,"S")</f>
        <v>S</v>
      </c>
    </row>
    <row r="86" spans="1:4">
      <c r="A86" s="5" t="s">
        <v>115</v>
      </c>
      <c r="B86" s="5" t="s">
        <v>31</v>
      </c>
      <c r="C86" s="6">
        <v>0.1734</v>
      </c>
      <c r="D86" s="5" t="str">
        <f>_xlfn.IFS(C86&gt;=t,"C",C86&gt;=t/2,"B",C86&gt;=t/4,"A",TRUE,"S")</f>
        <v>C</v>
      </c>
    </row>
    <row r="87" spans="1:4">
      <c r="A87" s="5" t="s">
        <v>116</v>
      </c>
      <c r="B87" s="5" t="s">
        <v>31</v>
      </c>
      <c r="C87" s="6">
        <v>0.0045</v>
      </c>
      <c r="D87" s="5" t="str">
        <f>_xlfn.IFS(C87&gt;=t,"C",C87&gt;=t/2,"B",C87&gt;=t/4,"A",TRUE,"S")</f>
        <v>S</v>
      </c>
    </row>
    <row r="88" spans="1:4">
      <c r="A88" s="5" t="s">
        <v>117</v>
      </c>
      <c r="B88" s="5" t="s">
        <v>31</v>
      </c>
      <c r="C88" s="6">
        <v>0.202</v>
      </c>
      <c r="D88" s="5" t="str">
        <f>_xlfn.IFS(C88&gt;=t,"C",C88&gt;=t/2,"B",C88&gt;=t/4,"A",TRUE,"S")</f>
        <v>C</v>
      </c>
    </row>
    <row r="89" spans="1:4">
      <c r="A89" s="5" t="s">
        <v>118</v>
      </c>
      <c r="B89" s="5" t="s">
        <v>31</v>
      </c>
      <c r="C89" s="6">
        <v>0.003</v>
      </c>
      <c r="D89" s="5" t="str">
        <f>_xlfn.IFS(C89&gt;=t,"C",C89&gt;=t/2,"B",C89&gt;=t/4,"A",TRUE,"S")</f>
        <v>S</v>
      </c>
    </row>
    <row r="90" spans="1:4">
      <c r="A90" s="5" t="s">
        <v>119</v>
      </c>
      <c r="B90" s="5" t="s">
        <v>31</v>
      </c>
      <c r="C90" s="6">
        <v>0.0034</v>
      </c>
      <c r="D90" s="5" t="str">
        <f>_xlfn.IFS(C90&gt;=t,"C",C90&gt;=t/2,"B",C90&gt;=t/4,"A",TRUE,"S")</f>
        <v>S</v>
      </c>
    </row>
    <row r="91" spans="1:4">
      <c r="A91" s="5" t="s">
        <v>120</v>
      </c>
      <c r="B91" s="5" t="s">
        <v>31</v>
      </c>
      <c r="C91" s="6">
        <v>0.0033</v>
      </c>
      <c r="D91" s="5" t="str">
        <f>_xlfn.IFS(C91&gt;=t,"C",C91&gt;=t/2,"B",C91&gt;=t/4,"A",TRUE,"S")</f>
        <v>S</v>
      </c>
    </row>
    <row r="92" spans="1:4">
      <c r="A92" s="5" t="s">
        <v>121</v>
      </c>
      <c r="B92" s="5" t="s">
        <v>31</v>
      </c>
      <c r="C92" s="6">
        <v>0.0039</v>
      </c>
      <c r="D92" s="5" t="str">
        <f>_xlfn.IFS(C92&gt;=t,"C",C92&gt;=t/2,"B",C92&gt;=t/4,"A",TRUE,"S")</f>
        <v>S</v>
      </c>
    </row>
    <row r="93" spans="1:4">
      <c r="A93" s="5" t="s">
        <v>122</v>
      </c>
      <c r="B93" s="5" t="s">
        <v>31</v>
      </c>
      <c r="C93" s="6">
        <v>0.0033</v>
      </c>
      <c r="D93" s="5" t="str">
        <f>_xlfn.IFS(C93&gt;=t,"C",C93&gt;=t/2,"B",C93&gt;=t/4,"A",TRUE,"S")</f>
        <v>S</v>
      </c>
    </row>
    <row r="94" spans="1:4">
      <c r="A94" s="5" t="s">
        <v>123</v>
      </c>
      <c r="B94" s="5" t="s">
        <v>31</v>
      </c>
      <c r="C94" s="6">
        <v>0.0127</v>
      </c>
      <c r="D94" s="5" t="str">
        <f>_xlfn.IFS(C94&gt;=t,"C",C94&gt;=t/2,"B",C94&gt;=t/4,"A",TRUE,"S")</f>
        <v>S</v>
      </c>
    </row>
    <row r="95" spans="1:4">
      <c r="A95" s="5" t="s">
        <v>124</v>
      </c>
      <c r="B95" s="5" t="s">
        <v>31</v>
      </c>
      <c r="C95" s="6">
        <v>0.0031</v>
      </c>
      <c r="D95" s="5" t="str">
        <f>_xlfn.IFS(C95&gt;=t,"C",C95&gt;=t/2,"B",C95&gt;=t/4,"A",TRUE,"S")</f>
        <v>S</v>
      </c>
    </row>
    <row r="96" spans="1:4">
      <c r="A96" s="5" t="s">
        <v>125</v>
      </c>
      <c r="B96" s="5" t="s">
        <v>31</v>
      </c>
      <c r="C96" s="6">
        <v>0.0076</v>
      </c>
      <c r="D96" s="5" t="str">
        <f>_xlfn.IFS(C96&gt;=t,"C",C96&gt;=t/2,"B",C96&gt;=t/4,"A",TRUE,"S")</f>
        <v>S</v>
      </c>
    </row>
    <row r="97" spans="1:4">
      <c r="A97" s="5" t="s">
        <v>126</v>
      </c>
      <c r="B97" s="5" t="s">
        <v>31</v>
      </c>
      <c r="C97" s="6">
        <v>0.0041</v>
      </c>
      <c r="D97" s="5" t="str">
        <f>_xlfn.IFS(C97&gt;=t,"C",C97&gt;=t/2,"B",C97&gt;=t/4,"A",TRUE,"S")</f>
        <v>S</v>
      </c>
    </row>
    <row r="98" spans="1:4">
      <c r="A98" s="5" t="s">
        <v>127</v>
      </c>
      <c r="B98" s="5" t="s">
        <v>31</v>
      </c>
      <c r="C98" s="6">
        <v>0.0031</v>
      </c>
      <c r="D98" s="5" t="str">
        <f>_xlfn.IFS(C98&gt;=t,"C",C98&gt;=t/2,"B",C98&gt;=t/4,"A",TRUE,"S")</f>
        <v>S</v>
      </c>
    </row>
    <row r="99" spans="1:4">
      <c r="A99" s="5" t="s">
        <v>128</v>
      </c>
      <c r="B99" s="5" t="s">
        <v>31</v>
      </c>
      <c r="C99" s="6">
        <v>0.0094</v>
      </c>
      <c r="D99" s="5" t="str">
        <f>_xlfn.IFS(C99&gt;=t,"C",C99&gt;=t/2,"B",C99&gt;=t/4,"A",TRUE,"S")</f>
        <v>S</v>
      </c>
    </row>
    <row r="100" spans="1:4">
      <c r="A100" s="5" t="s">
        <v>129</v>
      </c>
      <c r="B100" s="5" t="s">
        <v>31</v>
      </c>
      <c r="C100" s="6">
        <v>0.0029</v>
      </c>
      <c r="D100" s="5" t="str">
        <f>_xlfn.IFS(C100&gt;=t,"C",C100&gt;=t/2,"B",C100&gt;=t/4,"A",TRUE,"S")</f>
        <v>S</v>
      </c>
    </row>
    <row r="101" spans="1:4">
      <c r="A101" s="5" t="s">
        <v>130</v>
      </c>
      <c r="B101" s="5" t="s">
        <v>31</v>
      </c>
      <c r="C101" s="6">
        <v>0.0031</v>
      </c>
      <c r="D101" s="5" t="str">
        <f>_xlfn.IFS(C101&gt;=t,"C",C101&gt;=t/2,"B",C101&gt;=t/4,"A",TRUE,"S")</f>
        <v>S</v>
      </c>
    </row>
    <row r="102" spans="1:4">
      <c r="A102" s="5" t="s">
        <v>131</v>
      </c>
      <c r="B102" s="5" t="s">
        <v>31</v>
      </c>
      <c r="C102" s="6">
        <v>0.014</v>
      </c>
      <c r="D102" s="5" t="str">
        <f>_xlfn.IFS(C102&gt;=t,"C",C102&gt;=t/2,"B",C102&gt;=t/4,"A",TRUE,"S")</f>
        <v>S</v>
      </c>
    </row>
    <row r="103" spans="1:4">
      <c r="A103" s="5" t="s">
        <v>132</v>
      </c>
      <c r="B103" s="5" t="s">
        <v>31</v>
      </c>
      <c r="C103" s="6">
        <v>0.0046</v>
      </c>
      <c r="D103" s="5" t="str">
        <f>_xlfn.IFS(C103&gt;=t,"C",C103&gt;=t/2,"B",C103&gt;=t/4,"A",TRUE,"S")</f>
        <v>S</v>
      </c>
    </row>
    <row r="104" spans="1:4">
      <c r="A104" s="5" t="s">
        <v>133</v>
      </c>
      <c r="B104" s="5" t="s">
        <v>31</v>
      </c>
      <c r="C104" s="6">
        <v>0.0033</v>
      </c>
      <c r="D104" s="5" t="str">
        <f>_xlfn.IFS(C104&gt;=t,"C",C104&gt;=t/2,"B",C104&gt;=t/4,"A",TRUE,"S")</f>
        <v>S</v>
      </c>
    </row>
    <row r="105" spans="1:4">
      <c r="A105" s="5" t="s">
        <v>134</v>
      </c>
      <c r="B105" s="5" t="s">
        <v>31</v>
      </c>
      <c r="C105" s="6">
        <v>0.4373</v>
      </c>
      <c r="D105" s="5" t="str">
        <f>_xlfn.IFS(C105&gt;=t,"C",C105&gt;=t/2,"B",C105&gt;=t/4,"A",TRUE,"S")</f>
        <v>C</v>
      </c>
    </row>
    <row r="106" spans="1:4">
      <c r="A106" s="5" t="s">
        <v>135</v>
      </c>
      <c r="B106" s="5" t="s">
        <v>31</v>
      </c>
      <c r="C106" s="6">
        <v>0.0107</v>
      </c>
      <c r="D106" s="5" t="str">
        <f>_xlfn.IFS(C106&gt;=t,"C",C106&gt;=t/2,"B",C106&gt;=t/4,"A",TRUE,"S")</f>
        <v>S</v>
      </c>
    </row>
    <row r="107" spans="1:4">
      <c r="A107" s="5" t="s">
        <v>136</v>
      </c>
      <c r="B107" s="5" t="s">
        <v>31</v>
      </c>
      <c r="C107" s="6">
        <v>0.0035</v>
      </c>
      <c r="D107" s="5" t="str">
        <f>_xlfn.IFS(C107&gt;=t,"C",C107&gt;=t/2,"B",C107&gt;=t/4,"A",TRUE,"S")</f>
        <v>S</v>
      </c>
    </row>
    <row r="108" spans="1:4">
      <c r="A108" s="5" t="s">
        <v>137</v>
      </c>
      <c r="B108" s="5" t="s">
        <v>31</v>
      </c>
      <c r="C108" s="6">
        <v>0.0057</v>
      </c>
      <c r="D108" s="5" t="str">
        <f>_xlfn.IFS(C108&gt;=t,"C",C108&gt;=t/2,"B",C108&gt;=t/4,"A",TRUE,"S")</f>
        <v>S</v>
      </c>
    </row>
    <row r="109" spans="1:4">
      <c r="A109" s="5" t="s">
        <v>138</v>
      </c>
      <c r="B109" s="5" t="s">
        <v>31</v>
      </c>
      <c r="C109" s="6">
        <v>0.0049</v>
      </c>
      <c r="D109" s="5" t="str">
        <f>_xlfn.IFS(C109&gt;=t,"C",C109&gt;=t/2,"B",C109&gt;=t/4,"A",TRUE,"S")</f>
        <v>S</v>
      </c>
    </row>
    <row r="110" spans="1:4">
      <c r="A110" s="5" t="s">
        <v>139</v>
      </c>
      <c r="B110" s="5" t="s">
        <v>31</v>
      </c>
      <c r="C110" s="6">
        <v>0.003</v>
      </c>
      <c r="D110" s="5" t="str">
        <f>_xlfn.IFS(C110&gt;=t,"C",C110&gt;=t/2,"B",C110&gt;=t/4,"A",TRUE,"S")</f>
        <v>S</v>
      </c>
    </row>
    <row r="111" spans="1:4">
      <c r="A111" s="5" t="s">
        <v>140</v>
      </c>
      <c r="B111" s="5" t="s">
        <v>31</v>
      </c>
      <c r="C111" s="6">
        <v>0.0071</v>
      </c>
      <c r="D111" s="5" t="str">
        <f>_xlfn.IFS(C111&gt;=t,"C",C111&gt;=t/2,"B",C111&gt;=t/4,"A",TRUE,"S")</f>
        <v>S</v>
      </c>
    </row>
    <row r="112" spans="1:4">
      <c r="A112" s="5" t="s">
        <v>141</v>
      </c>
      <c r="B112" s="5" t="s">
        <v>31</v>
      </c>
      <c r="C112" s="6">
        <v>0.0032</v>
      </c>
      <c r="D112" s="5" t="str">
        <f>_xlfn.IFS(C112&gt;=t,"C",C112&gt;=t/2,"B",C112&gt;=t/4,"A",TRUE,"S")</f>
        <v>S</v>
      </c>
    </row>
    <row r="113" spans="1:4">
      <c r="A113" s="5" t="s">
        <v>142</v>
      </c>
      <c r="B113" s="5" t="s">
        <v>31</v>
      </c>
      <c r="C113" s="6">
        <v>0.003</v>
      </c>
      <c r="D113" s="5" t="str">
        <f>_xlfn.IFS(C113&gt;=t,"C",C113&gt;=t/2,"B",C113&gt;=t/4,"A",TRUE,"S")</f>
        <v>S</v>
      </c>
    </row>
    <row r="114" spans="1:4">
      <c r="A114" s="5" t="s">
        <v>143</v>
      </c>
      <c r="B114" s="5" t="s">
        <v>31</v>
      </c>
      <c r="C114" s="6">
        <v>0.0031</v>
      </c>
      <c r="D114" s="5" t="str">
        <f>_xlfn.IFS(C114&gt;=t,"C",C114&gt;=t/2,"B",C114&gt;=t/4,"A",TRUE,"S")</f>
        <v>S</v>
      </c>
    </row>
    <row r="115" spans="1:4">
      <c r="A115" s="5" t="s">
        <v>144</v>
      </c>
      <c r="B115" s="5" t="s">
        <v>31</v>
      </c>
      <c r="C115" s="6">
        <v>0.0039</v>
      </c>
      <c r="D115" s="5" t="str">
        <f>_xlfn.IFS(C115&gt;=t,"C",C115&gt;=t/2,"B",C115&gt;=t/4,"A",TRUE,"S")</f>
        <v>S</v>
      </c>
    </row>
    <row r="116" spans="1:4">
      <c r="A116" s="5" t="s">
        <v>145</v>
      </c>
      <c r="B116" s="5" t="s">
        <v>31</v>
      </c>
      <c r="C116" s="6">
        <v>0.0042</v>
      </c>
      <c r="D116" s="5" t="str">
        <f>_xlfn.IFS(C116&gt;=t,"C",C116&gt;=t/2,"B",C116&gt;=t/4,"A",TRUE,"S")</f>
        <v>S</v>
      </c>
    </row>
    <row r="117" spans="1:4">
      <c r="A117" s="5" t="s">
        <v>146</v>
      </c>
      <c r="B117" s="5" t="s">
        <v>31</v>
      </c>
      <c r="C117" s="6">
        <v>0.004</v>
      </c>
      <c r="D117" s="5" t="str">
        <f>_xlfn.IFS(C117&gt;=t,"C",C117&gt;=t/2,"B",C117&gt;=t/4,"A",TRUE,"S")</f>
        <v>S</v>
      </c>
    </row>
    <row r="118" spans="1:4">
      <c r="A118" s="5" t="s">
        <v>147</v>
      </c>
      <c r="B118" s="5" t="s">
        <v>31</v>
      </c>
      <c r="C118" s="6">
        <v>0.0046</v>
      </c>
      <c r="D118" s="5" t="str">
        <f>_xlfn.IFS(C118&gt;=t,"C",C118&gt;=t/2,"B",C118&gt;=t/4,"A",TRUE,"S")</f>
        <v>S</v>
      </c>
    </row>
    <row r="119" spans="1:4">
      <c r="A119" s="5" t="s">
        <v>148</v>
      </c>
      <c r="B119" s="5" t="s">
        <v>31</v>
      </c>
      <c r="C119" s="6">
        <v>0.7032</v>
      </c>
      <c r="D119" s="5" t="str">
        <f>_xlfn.IFS(C119&gt;=t,"C",C119&gt;=t/2,"B",C119&gt;=t/4,"A",TRUE,"S")</f>
        <v>C</v>
      </c>
    </row>
    <row r="120" spans="1:4">
      <c r="A120" s="5" t="s">
        <v>149</v>
      </c>
      <c r="B120" s="5" t="s">
        <v>31</v>
      </c>
      <c r="C120" s="6">
        <v>0.3832</v>
      </c>
      <c r="D120" s="5" t="str">
        <f>_xlfn.IFS(C120&gt;=t,"C",C120&gt;=t/2,"B",C120&gt;=t/4,"A",TRUE,"S")</f>
        <v>C</v>
      </c>
    </row>
    <row r="121" spans="1:4">
      <c r="A121" s="5" t="s">
        <v>150</v>
      </c>
      <c r="B121" s="5" t="s">
        <v>31</v>
      </c>
      <c r="C121" s="6">
        <v>0.0049</v>
      </c>
      <c r="D121" s="5" t="str">
        <f>_xlfn.IFS(C121&gt;=t,"C",C121&gt;=t/2,"B",C121&gt;=t/4,"A",TRUE,"S")</f>
        <v>S</v>
      </c>
    </row>
    <row r="122" spans="1:4">
      <c r="A122" s="5" t="s">
        <v>151</v>
      </c>
      <c r="B122" s="5" t="s">
        <v>31</v>
      </c>
      <c r="C122" s="6">
        <v>0.0078</v>
      </c>
      <c r="D122" s="5" t="str">
        <f>_xlfn.IFS(C122&gt;=t,"C",C122&gt;=t/2,"B",C122&gt;=t/4,"A",TRUE,"S")</f>
        <v>S</v>
      </c>
    </row>
    <row r="123" spans="1:4">
      <c r="A123" s="5" t="s">
        <v>152</v>
      </c>
      <c r="B123" s="5" t="s">
        <v>31</v>
      </c>
      <c r="C123" s="6">
        <v>0.0029</v>
      </c>
      <c r="D123" s="5" t="str">
        <f>_xlfn.IFS(C123&gt;=t,"C",C123&gt;=t/2,"B",C123&gt;=t/4,"A",TRUE,"S")</f>
        <v>S</v>
      </c>
    </row>
    <row r="124" spans="1:4">
      <c r="A124" s="5" t="s">
        <v>153</v>
      </c>
      <c r="B124" s="5" t="s">
        <v>31</v>
      </c>
      <c r="C124" s="6">
        <v>0.1633</v>
      </c>
      <c r="D124" s="5" t="str">
        <f>_xlfn.IFS(C124&gt;=t,"C",C124&gt;=t/2,"B",C124&gt;=t/4,"A",TRUE,"S")</f>
        <v>B</v>
      </c>
    </row>
    <row r="125" spans="1:4">
      <c r="A125" s="5" t="s">
        <v>154</v>
      </c>
      <c r="B125" s="5" t="s">
        <v>31</v>
      </c>
      <c r="C125" s="6">
        <v>0.003</v>
      </c>
      <c r="D125" s="5" t="str">
        <f>_xlfn.IFS(C125&gt;=t,"C",C125&gt;=t/2,"B",C125&gt;=t/4,"A",TRUE,"S")</f>
        <v>S</v>
      </c>
    </row>
    <row r="126" spans="1:4">
      <c r="A126" s="5" t="s">
        <v>155</v>
      </c>
      <c r="B126" s="5" t="s">
        <v>31</v>
      </c>
      <c r="C126" s="6">
        <v>0.0034</v>
      </c>
      <c r="D126" s="5" t="str">
        <f>_xlfn.IFS(C126&gt;=t,"C",C126&gt;=t/2,"B",C126&gt;=t/4,"A",TRUE,"S")</f>
        <v>S</v>
      </c>
    </row>
    <row r="127" spans="1:4">
      <c r="A127" s="5" t="s">
        <v>156</v>
      </c>
      <c r="B127" s="5" t="s">
        <v>31</v>
      </c>
      <c r="C127" s="6">
        <v>0.0037</v>
      </c>
      <c r="D127" s="5" t="str">
        <f>_xlfn.IFS(C127&gt;=t,"C",C127&gt;=t/2,"B",C127&gt;=t/4,"A",TRUE,"S")</f>
        <v>S</v>
      </c>
    </row>
    <row r="128" spans="1:4">
      <c r="A128" s="5" t="s">
        <v>157</v>
      </c>
      <c r="B128" s="5" t="s">
        <v>31</v>
      </c>
      <c r="C128" s="6">
        <v>0.0078</v>
      </c>
      <c r="D128" s="5" t="str">
        <f>_xlfn.IFS(C128&gt;=t,"C",C128&gt;=t/2,"B",C128&gt;=t/4,"A",TRUE,"S")</f>
        <v>S</v>
      </c>
    </row>
    <row r="129" spans="1:4">
      <c r="A129" s="5" t="s">
        <v>158</v>
      </c>
      <c r="B129" s="5" t="s">
        <v>31</v>
      </c>
      <c r="C129" s="6">
        <v>0.0043</v>
      </c>
      <c r="D129" s="5" t="str">
        <f>_xlfn.IFS(C129&gt;=t,"C",C129&gt;=t/2,"B",C129&gt;=t/4,"A",TRUE,"S")</f>
        <v>S</v>
      </c>
    </row>
    <row r="130" spans="1:4">
      <c r="A130" s="5" t="s">
        <v>159</v>
      </c>
      <c r="B130" s="5" t="s">
        <v>31</v>
      </c>
      <c r="C130" s="6">
        <v>0.0078</v>
      </c>
      <c r="D130" s="5" t="str">
        <f>_xlfn.IFS(C130&gt;=t,"C",C130&gt;=t/2,"B",C130&gt;=t/4,"A",TRUE,"S")</f>
        <v>S</v>
      </c>
    </row>
    <row r="131" spans="1:4">
      <c r="A131" s="5" t="s">
        <v>160</v>
      </c>
      <c r="B131" s="5" t="s">
        <v>31</v>
      </c>
      <c r="C131" s="6">
        <v>0.0035</v>
      </c>
      <c r="D131" s="5" t="str">
        <f>_xlfn.IFS(C131&gt;=t,"C",C131&gt;=t/2,"B",C131&gt;=t/4,"A",TRUE,"S")</f>
        <v>S</v>
      </c>
    </row>
    <row r="132" spans="1:4">
      <c r="A132" s="5" t="s">
        <v>161</v>
      </c>
      <c r="B132" s="5" t="s">
        <v>31</v>
      </c>
      <c r="C132" s="6">
        <v>0.0032</v>
      </c>
      <c r="D132" s="5" t="str">
        <f>_xlfn.IFS(C132&gt;=t,"C",C132&gt;=t/2,"B",C132&gt;=t/4,"A",TRUE,"S")</f>
        <v>S</v>
      </c>
    </row>
    <row r="133" spans="1:4">
      <c r="A133" s="5" t="s">
        <v>162</v>
      </c>
      <c r="B133" s="5" t="s">
        <v>31</v>
      </c>
      <c r="C133" s="6">
        <v>0.0049</v>
      </c>
      <c r="D133" s="5" t="str">
        <f>_xlfn.IFS(C133&gt;=t,"C",C133&gt;=t/2,"B",C133&gt;=t/4,"A",TRUE,"S")</f>
        <v>S</v>
      </c>
    </row>
    <row r="134" spans="1:4">
      <c r="A134" s="5" t="s">
        <v>163</v>
      </c>
      <c r="B134" s="5" t="s">
        <v>31</v>
      </c>
      <c r="C134" s="6">
        <v>0.0044</v>
      </c>
      <c r="D134" s="5" t="str">
        <f>_xlfn.IFS(C134&gt;=t,"C",C134&gt;=t/2,"B",C134&gt;=t/4,"A",TRUE,"S")</f>
        <v>S</v>
      </c>
    </row>
    <row r="135" spans="1:4">
      <c r="A135" s="5" t="s">
        <v>164</v>
      </c>
      <c r="B135" s="5" t="s">
        <v>31</v>
      </c>
      <c r="C135" s="6">
        <v>0.7092000000000001</v>
      </c>
      <c r="D135" s="5" t="str">
        <f>_xlfn.IFS(C135&gt;=t,"C",C135&gt;=t/2,"B",C135&gt;=t/4,"A",TRUE,"S")</f>
        <v>C</v>
      </c>
    </row>
    <row r="136" spans="1:4">
      <c r="A136" s="5" t="s">
        <v>165</v>
      </c>
      <c r="B136" s="5" t="s">
        <v>31</v>
      </c>
      <c r="C136" s="6">
        <v>0.0108</v>
      </c>
      <c r="D136" s="5" t="str">
        <f>_xlfn.IFS(C136&gt;=t,"C",C136&gt;=t/2,"B",C136&gt;=t/4,"A",TRUE,"S")</f>
        <v>S</v>
      </c>
    </row>
    <row r="137" spans="1:4">
      <c r="A137" s="5" t="s">
        <v>166</v>
      </c>
      <c r="B137" s="5" t="s">
        <v>31</v>
      </c>
      <c r="C137" s="6">
        <v>0.0062</v>
      </c>
      <c r="D137" s="5" t="str">
        <f>_xlfn.IFS(C137&gt;=t,"C",C137&gt;=t/2,"B",C137&gt;=t/4,"A",TRUE,"S")</f>
        <v>S</v>
      </c>
    </row>
    <row r="138" spans="1:4">
      <c r="A138" s="5" t="s">
        <v>167</v>
      </c>
      <c r="B138" s="5" t="s">
        <v>31</v>
      </c>
      <c r="C138" s="6">
        <v>0.007</v>
      </c>
      <c r="D138" s="5" t="str">
        <f>_xlfn.IFS(C138&gt;=t,"C",C138&gt;=t/2,"B",C138&gt;=t/4,"A",TRUE,"S")</f>
        <v>S</v>
      </c>
    </row>
    <row r="139" spans="1:4">
      <c r="A139" s="5" t="s">
        <v>168</v>
      </c>
      <c r="B139" s="5" t="s">
        <v>31</v>
      </c>
      <c r="C139" s="6">
        <v>0.0047</v>
      </c>
      <c r="D139" s="5" t="str">
        <f>_xlfn.IFS(C139&gt;=t,"C",C139&gt;=t/2,"B",C139&gt;=t/4,"A",TRUE,"S")</f>
        <v>S</v>
      </c>
    </row>
    <row r="140" spans="1:4">
      <c r="A140" s="5" t="s">
        <v>169</v>
      </c>
      <c r="B140" s="5" t="s">
        <v>31</v>
      </c>
      <c r="C140" s="6">
        <v>0.0044</v>
      </c>
      <c r="D140" s="5" t="str">
        <f>_xlfn.IFS(C140&gt;=t,"C",C140&gt;=t/2,"B",C140&gt;=t/4,"A",TRUE,"S")</f>
        <v>S</v>
      </c>
    </row>
    <row r="141" spans="1:4">
      <c r="A141" s="5" t="s">
        <v>170</v>
      </c>
      <c r="B141" s="5" t="s">
        <v>31</v>
      </c>
      <c r="C141" s="6">
        <v>0.2623</v>
      </c>
      <c r="D141" s="5" t="str">
        <f>_xlfn.IFS(C141&gt;=t,"C",C141&gt;=t/2,"B",C141&gt;=t/4,"A",TRUE,"S")</f>
        <v>C</v>
      </c>
    </row>
    <row r="142" spans="1:4">
      <c r="A142" s="5" t="s">
        <v>171</v>
      </c>
      <c r="B142" s="5" t="s">
        <v>31</v>
      </c>
      <c r="C142" s="6">
        <v>0.0033</v>
      </c>
      <c r="D142" s="5" t="str">
        <f>_xlfn.IFS(C142&gt;=t,"C",C142&gt;=t/2,"B",C142&gt;=t/4,"A",TRUE,"S")</f>
        <v>S</v>
      </c>
    </row>
    <row r="143" spans="1:4">
      <c r="A143" s="5" t="s">
        <v>172</v>
      </c>
      <c r="B143" s="5" t="s">
        <v>31</v>
      </c>
      <c r="C143" s="6">
        <v>0.0051</v>
      </c>
      <c r="D143" s="5" t="str">
        <f>_xlfn.IFS(C143&gt;=t,"C",C143&gt;=t/2,"B",C143&gt;=t/4,"A",TRUE,"S")</f>
        <v>S</v>
      </c>
    </row>
    <row r="144" spans="1:4">
      <c r="A144" s="5" t="s">
        <v>173</v>
      </c>
      <c r="B144" s="5" t="s">
        <v>31</v>
      </c>
      <c r="C144" s="6">
        <v>0.0046</v>
      </c>
      <c r="D144" s="5" t="str">
        <f>_xlfn.IFS(C144&gt;=t,"C",C144&gt;=t/2,"B",C144&gt;=t/4,"A",TRUE,"S")</f>
        <v>S</v>
      </c>
    </row>
    <row r="145" spans="1:4">
      <c r="A145" s="5" t="s">
        <v>174</v>
      </c>
      <c r="B145" s="5" t="s">
        <v>31</v>
      </c>
      <c r="C145" s="6">
        <v>0.0598</v>
      </c>
      <c r="D145" s="5" t="str">
        <f>_xlfn.IFS(C145&gt;=t,"C",C145&gt;=t/2,"B",C145&gt;=t/4,"A",TRUE,"S")</f>
        <v>A</v>
      </c>
    </row>
    <row r="146" spans="1:4">
      <c r="A146" s="5" t="s">
        <v>175</v>
      </c>
      <c r="B146" s="5" t="s">
        <v>31</v>
      </c>
      <c r="C146" s="6">
        <v>0.0069</v>
      </c>
      <c r="D146" s="5" t="str">
        <f>_xlfn.IFS(C146&gt;=t,"C",C146&gt;=t/2,"B",C146&gt;=t/4,"A",TRUE,"S")</f>
        <v>S</v>
      </c>
    </row>
    <row r="147" spans="1:4">
      <c r="A147" s="5" t="s">
        <v>176</v>
      </c>
      <c r="B147" s="5" t="s">
        <v>31</v>
      </c>
      <c r="C147" s="6">
        <v>0.0031</v>
      </c>
      <c r="D147" s="5" t="str">
        <f>_xlfn.IFS(C147&gt;=t,"C",C147&gt;=t/2,"B",C147&gt;=t/4,"A",TRUE,"S")</f>
        <v>S</v>
      </c>
    </row>
    <row r="148" spans="1:4">
      <c r="A148" s="5" t="s">
        <v>177</v>
      </c>
      <c r="B148" s="5" t="s">
        <v>31</v>
      </c>
      <c r="C148" s="6">
        <v>0.063</v>
      </c>
      <c r="D148" s="5" t="str">
        <f>_xlfn.IFS(C148&gt;=t,"C",C148&gt;=t/2,"B",C148&gt;=t/4,"A",TRUE,"S")</f>
        <v>A</v>
      </c>
    </row>
    <row r="149" spans="1:4">
      <c r="A149" s="5" t="s">
        <v>178</v>
      </c>
      <c r="B149" s="5" t="s">
        <v>31</v>
      </c>
      <c r="C149" s="6">
        <v>0.009599999999999999</v>
      </c>
      <c r="D149" s="5" t="str">
        <f>_xlfn.IFS(C149&gt;=t,"C",C149&gt;=t/2,"B",C149&gt;=t/4,"A",TRUE,"S")</f>
        <v>S</v>
      </c>
    </row>
    <row r="150" spans="1:4">
      <c r="A150" s="5" t="s">
        <v>179</v>
      </c>
      <c r="B150" s="5" t="s">
        <v>31</v>
      </c>
      <c r="C150" s="6">
        <v>0.0031</v>
      </c>
      <c r="D150" s="5" t="str">
        <f>_xlfn.IFS(C150&gt;=t,"C",C150&gt;=t/2,"B",C150&gt;=t/4,"A",TRUE,"S")</f>
        <v>S</v>
      </c>
    </row>
    <row r="151" spans="1:4">
      <c r="A151" s="5" t="s">
        <v>180</v>
      </c>
      <c r="B151" s="5" t="s">
        <v>31</v>
      </c>
      <c r="C151" s="6">
        <v>0.0031</v>
      </c>
      <c r="D151" s="5" t="str">
        <f>_xlfn.IFS(C151&gt;=t,"C",C151&gt;=t/2,"B",C151&gt;=t/4,"A",TRUE,"S")</f>
        <v>S</v>
      </c>
    </row>
  </sheetData>
  <conditionalFormatting sqref="D2:D151">
    <cfRule type="cellIs" dxfId="0" priority="1" operator="equal">
      <formula>"C"</formula>
    </cfRule>
    <cfRule type="cellIs" dxfId="1" priority="2" operator="equal">
      <formula>"B"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6.7109375" customWidth="1"/>
    <col min="2" max="2" width="20.7109375" customWidth="1"/>
    <col min="3" max="3" width="12.7109375" customWidth="1"/>
    <col min="4" max="4" width="18.7109375" customWidth="1"/>
    <col min="5" max="5" width="34.7109375" customWidth="1"/>
  </cols>
  <sheetData>
    <row r="1" spans="1:5">
      <c r="A1" s="7" t="s">
        <v>181</v>
      </c>
    </row>
    <row r="3" spans="1:5">
      <c r="A3" s="8" t="s">
        <v>182</v>
      </c>
      <c r="B3" s="9">
        <v>0.17</v>
      </c>
      <c r="C3" s="10" t="s">
        <v>183</v>
      </c>
    </row>
    <row r="5" spans="1:5">
      <c r="A5" s="4" t="s">
        <v>184</v>
      </c>
      <c r="B5" s="4" t="s">
        <v>185</v>
      </c>
      <c r="C5" s="4" t="s">
        <v>186</v>
      </c>
      <c r="D5" s="4" t="s">
        <v>187</v>
      </c>
      <c r="E5" s="4" t="s">
        <v>188</v>
      </c>
    </row>
    <row r="6" spans="1:5">
      <c r="A6" s="5" t="s">
        <v>189</v>
      </c>
      <c r="B6" s="5" t="s">
        <v>190</v>
      </c>
      <c r="C6" s="6">
        <f>IF(t="","",t)</f>
        <v>0.17</v>
      </c>
      <c r="D6" s="5" t="s">
        <v>191</v>
      </c>
      <c r="E6" s="5" t="s">
        <v>192</v>
      </c>
    </row>
    <row r="7" spans="1:5">
      <c r="A7" s="5" t="s">
        <v>193</v>
      </c>
      <c r="B7" s="5" t="s">
        <v>194</v>
      </c>
      <c r="C7" s="6">
        <f>IF(t="","",t/2)</f>
        <v>0.085</v>
      </c>
      <c r="D7" s="5" t="s">
        <v>195</v>
      </c>
      <c r="E7" s="5" t="s">
        <v>196</v>
      </c>
    </row>
    <row r="8" spans="1:5">
      <c r="A8" s="5" t="s">
        <v>197</v>
      </c>
      <c r="B8" s="5" t="s">
        <v>198</v>
      </c>
      <c r="C8" s="6">
        <f>IF(t="","",t/4)</f>
        <v>0.0425</v>
      </c>
      <c r="D8" s="5" t="s">
        <v>199</v>
      </c>
      <c r="E8" s="5" t="s">
        <v>200</v>
      </c>
    </row>
    <row r="9" spans="1:5">
      <c r="A9" s="5" t="s">
        <v>201</v>
      </c>
      <c r="B9" s="5" t="s">
        <v>202</v>
      </c>
      <c r="D9" s="5" t="s">
        <v>203</v>
      </c>
      <c r="E9" s="5" t="s">
        <v>200</v>
      </c>
    </row>
    <row r="10" spans="1:5">
      <c r="A10" s="10" t="s">
        <v>204</v>
      </c>
    </row>
    <row r="11" spans="1:5">
      <c r="A11" s="4" t="s">
        <v>184</v>
      </c>
      <c r="B11" s="4" t="s">
        <v>205</v>
      </c>
      <c r="C11" s="4" t="s">
        <v>206</v>
      </c>
    </row>
    <row r="12" spans="1:5">
      <c r="A12" s="5" t="s">
        <v>201</v>
      </c>
      <c r="B12" s="5">
        <f>COUNTIF(pred!$D$2:$D$151,"S")</f>
        <v>126</v>
      </c>
      <c r="C12" s="11">
        <f>IF($B$16=0,"",B12/$B$16)</f>
        <v>0.84</v>
      </c>
    </row>
    <row r="13" spans="1:5">
      <c r="A13" s="5" t="s">
        <v>197</v>
      </c>
      <c r="B13" s="5">
        <f>COUNTIF(pred!$D$2:$D$151,"A")</f>
        <v>4</v>
      </c>
      <c r="C13" s="11">
        <f>IF($B$16=0,"",B13/$B$16)</f>
        <v>0.02666666666666667</v>
      </c>
    </row>
    <row r="14" spans="1:5">
      <c r="A14" s="5" t="s">
        <v>193</v>
      </c>
      <c r="B14" s="5">
        <f>COUNTIF(pred!$D$2:$D$151,"B")</f>
        <v>3</v>
      </c>
      <c r="C14" s="11">
        <f>IF($B$16=0,"",B14/$B$16)</f>
        <v>0.02</v>
      </c>
    </row>
    <row r="15" spans="1:5">
      <c r="A15" s="5" t="s">
        <v>189</v>
      </c>
      <c r="B15" s="5">
        <f>COUNTIF(pred!$D$2:$D$151,"C")</f>
        <v>17</v>
      </c>
      <c r="C15" s="11">
        <f>IF($B$16=0,"",B15/$B$16)</f>
        <v>0.11333333333333333</v>
      </c>
    </row>
    <row r="16" spans="1:5">
      <c r="A16" s="8" t="s">
        <v>207</v>
      </c>
      <c r="B16" s="8">
        <f>SUM(B12:B15)</f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9.7109375" customWidth="1"/>
    <col min="4" max="4" width="10.7109375" customWidth="1"/>
    <col min="5" max="5" width="8.7109375" customWidth="1"/>
    <col min="6" max="6" width="3.7109375" customWidth="1"/>
    <col min="7" max="7" width="8.7109375" customWidth="1"/>
    <col min="8" max="9" width="9.7109375" customWidth="1"/>
    <col min="10" max="10" width="12.7109375" customWidth="1"/>
  </cols>
  <sheetData>
    <row r="1" spans="1:10">
      <c r="A1" s="4" t="s">
        <v>26</v>
      </c>
      <c r="B1" s="4" t="s">
        <v>27</v>
      </c>
      <c r="C1" s="4" t="s">
        <v>208</v>
      </c>
      <c r="D1" s="4" t="s">
        <v>28</v>
      </c>
      <c r="E1" s="4" t="s">
        <v>29</v>
      </c>
      <c r="G1" s="4" t="s">
        <v>184</v>
      </c>
      <c r="H1" s="4" t="s">
        <v>211</v>
      </c>
      <c r="I1" s="4" t="s">
        <v>212</v>
      </c>
      <c r="J1" s="4" t="s">
        <v>213</v>
      </c>
    </row>
    <row r="2" spans="1:10">
      <c r="A2" s="5" t="s">
        <v>32</v>
      </c>
      <c r="B2" s="5" t="s">
        <v>209</v>
      </c>
      <c r="C2" s="5">
        <v>0</v>
      </c>
      <c r="D2" s="6">
        <v>0.0061</v>
      </c>
      <c r="E2" s="5" t="str">
        <f>IF(OR(D2="",t=""),"",_xlfn.IFS(D2&gt;=t,"C",D2&gt;=t/2,"B",D2&gt;=t/4,"A",TRUE,"S"))</f>
        <v>S</v>
      </c>
      <c r="G2" s="5" t="s">
        <v>201</v>
      </c>
      <c r="H2" s="5">
        <f>COUNTIF($E$2:$E$1201,"S")</f>
        <v>74</v>
      </c>
      <c r="I2" s="5">
        <f>COUNTIFS($E$2:$E$1201,"S",$C$2:$C$1201,1)</f>
        <v>0</v>
      </c>
      <c r="J2" s="11">
        <f>IF(H2=0,"",I2/H2)</f>
        <v>0.0</v>
      </c>
    </row>
    <row r="3" spans="1:10">
      <c r="A3" s="5" t="s">
        <v>34</v>
      </c>
      <c r="B3" s="5" t="s">
        <v>209</v>
      </c>
      <c r="C3" s="5">
        <v>0</v>
      </c>
      <c r="D3" s="6">
        <v>0.0031</v>
      </c>
      <c r="E3" s="5" t="str">
        <f>IF(OR(D3="",t=""),"",_xlfn.IFS(D3&gt;=t,"C",D3&gt;=t/2,"B",D3&gt;=t/4,"A",TRUE,"S"))</f>
        <v>S</v>
      </c>
      <c r="G3" s="5" t="s">
        <v>197</v>
      </c>
      <c r="H3" s="5">
        <f>COUNTIF($E$2:$E$1201,"A")</f>
        <v>2</v>
      </c>
      <c r="I3" s="5">
        <f>COUNTIFS($E$2:$E$1201,"A",$C$2:$C$1201,1)</f>
        <v>1</v>
      </c>
      <c r="J3" s="11">
        <f>IF(H3=0,"",I3/H3)</f>
        <v>0.5</v>
      </c>
    </row>
    <row r="4" spans="1:10">
      <c r="A4" s="5" t="s">
        <v>39</v>
      </c>
      <c r="B4" s="5" t="s">
        <v>209</v>
      </c>
      <c r="C4" s="5">
        <v>0</v>
      </c>
      <c r="D4" s="6">
        <v>0.0058</v>
      </c>
      <c r="E4" s="5" t="str">
        <f>IF(OR(D4="",t=""),"",_xlfn.IFS(D4&gt;=t,"C",D4&gt;=t/2,"B",D4&gt;=t/4,"A",TRUE,"S"))</f>
        <v>S</v>
      </c>
      <c r="G4" s="5" t="s">
        <v>193</v>
      </c>
      <c r="H4" s="5">
        <f>COUNTIF($E$2:$E$1201,"B")</f>
        <v>6</v>
      </c>
      <c r="I4" s="5">
        <f>COUNTIFS($E$2:$E$1201,"B",$C$2:$C$1201,1)</f>
        <v>1</v>
      </c>
      <c r="J4" s="11">
        <f>IF(H4=0,"",I4/H4)</f>
        <v>0.16666666666666666</v>
      </c>
    </row>
    <row r="5" spans="1:10">
      <c r="A5" s="5" t="s">
        <v>42</v>
      </c>
      <c r="B5" s="5" t="s">
        <v>209</v>
      </c>
      <c r="C5" s="5">
        <v>0</v>
      </c>
      <c r="D5" s="6">
        <v>0.0032</v>
      </c>
      <c r="E5" s="5" t="str">
        <f>IF(OR(D5="",t=""),"",_xlfn.IFS(D5&gt;=t,"C",D5&gt;=t/2,"B",D5&gt;=t/4,"A",TRUE,"S"))</f>
        <v>S</v>
      </c>
      <c r="G5" s="5" t="s">
        <v>189</v>
      </c>
      <c r="H5" s="5">
        <f>COUNTIF($E$2:$E$1201,"C")</f>
        <v>6</v>
      </c>
      <c r="I5" s="5">
        <f>COUNTIFS($E$2:$E$1201,"C",$C$2:$C$1201,1)</f>
        <v>2</v>
      </c>
      <c r="J5" s="11">
        <f>IF(H5=0,"",I5/H5)</f>
        <v>0.3333333333333333</v>
      </c>
    </row>
    <row r="6" spans="1:10">
      <c r="A6" s="5" t="s">
        <v>43</v>
      </c>
      <c r="B6" s="5" t="s">
        <v>209</v>
      </c>
      <c r="C6" s="5">
        <v>0</v>
      </c>
      <c r="D6" s="6">
        <v>0.003</v>
      </c>
      <c r="E6" s="5" t="str">
        <f>IF(OR(D6="",t=""),"",_xlfn.IFS(D6&gt;=t,"C",D6&gt;=t/2,"B",D6&gt;=t/4,"A",TRUE,"S"))</f>
        <v>S</v>
      </c>
    </row>
    <row r="7" spans="1:10">
      <c r="A7" s="5" t="s">
        <v>44</v>
      </c>
      <c r="B7" s="5" t="s">
        <v>209</v>
      </c>
      <c r="C7" s="5">
        <v>0</v>
      </c>
      <c r="D7" s="6">
        <v>0.0032</v>
      </c>
      <c r="E7" s="5" t="str">
        <f>IF(OR(D7="",t=""),"",_xlfn.IFS(D7&gt;=t,"C",D7&gt;=t/2,"B",D7&gt;=t/4,"A",TRUE,"S"))</f>
        <v>S</v>
      </c>
      <c r="G7" s="8" t="s">
        <v>214</v>
      </c>
      <c r="H7" s="8" t="str">
        <f>IF(OR(H2=0,H5=0),"",IF(AND(J2&lt;=J5,OR(H4=0,AND(J2&lt;=J4,J4&lt;=J5))),"S ≤ B ≤ C — 순서대로 오른다","순서가 뒤집혔다 — t와 수식 순서를 다시 본다"))</f>
        <v>S ≤ B ≤ C — 순서대로 오른다</v>
      </c>
    </row>
    <row r="8" spans="1:10">
      <c r="A8" s="5" t="s">
        <v>45</v>
      </c>
      <c r="B8" s="5" t="s">
        <v>209</v>
      </c>
      <c r="C8" s="5">
        <v>0</v>
      </c>
      <c r="D8" s="6">
        <v>0.0057</v>
      </c>
      <c r="E8" s="5" t="str">
        <f>IF(OR(D8="",t=""),"",_xlfn.IFS(D8&gt;=t,"C",D8&gt;=t/2,"B",D8&gt;=t/4,"A",TRUE,"S"))</f>
        <v>S</v>
      </c>
    </row>
    <row r="9" spans="1:10">
      <c r="A9" s="5" t="s">
        <v>48</v>
      </c>
      <c r="B9" s="5" t="s">
        <v>209</v>
      </c>
      <c r="C9" s="5">
        <v>0</v>
      </c>
      <c r="D9" s="6">
        <v>0.1142</v>
      </c>
      <c r="E9" s="5" t="str">
        <f>IF(OR(D9="",t=""),"",_xlfn.IFS(D9&gt;=t,"C",D9&gt;=t/2,"B",D9&gt;=t/4,"A",TRUE,"S"))</f>
        <v>B</v>
      </c>
      <c r="G9" s="10" t="s">
        <v>215</v>
      </c>
    </row>
    <row r="10" spans="1:10">
      <c r="A10" s="5" t="s">
        <v>52</v>
      </c>
      <c r="B10" s="5" t="s">
        <v>209</v>
      </c>
      <c r="C10" s="5">
        <v>0</v>
      </c>
      <c r="D10" s="6">
        <v>0.0041</v>
      </c>
      <c r="E10" s="5" t="str">
        <f>IF(OR(D10="",t=""),"",_xlfn.IFS(D10&gt;=t,"C",D10&gt;=t/2,"B",D10&gt;=t/4,"A",TRUE,"S"))</f>
        <v>S</v>
      </c>
    </row>
    <row r="11" spans="1:10">
      <c r="A11" s="5" t="s">
        <v>53</v>
      </c>
      <c r="B11" s="5" t="s">
        <v>209</v>
      </c>
      <c r="C11" s="5">
        <v>0</v>
      </c>
      <c r="D11" s="6">
        <v>0.003</v>
      </c>
      <c r="E11" s="5" t="str">
        <f>IF(OR(D11="",t=""),"",_xlfn.IFS(D11&gt;=t,"C",D11&gt;=t/2,"B",D11&gt;=t/4,"A",TRUE,"S"))</f>
        <v>S</v>
      </c>
    </row>
    <row r="12" spans="1:10">
      <c r="A12" s="5" t="s">
        <v>65</v>
      </c>
      <c r="B12" s="5" t="s">
        <v>209</v>
      </c>
      <c r="C12" s="5">
        <v>0</v>
      </c>
      <c r="D12" s="6">
        <v>0.0043</v>
      </c>
      <c r="E12" s="5" t="str">
        <f>IF(OR(D12="",t=""),"",_xlfn.IFS(D12&gt;=t,"C",D12&gt;=t/2,"B",D12&gt;=t/4,"A",TRUE,"S"))</f>
        <v>S</v>
      </c>
    </row>
    <row r="13" spans="1:10">
      <c r="A13" s="5" t="s">
        <v>75</v>
      </c>
      <c r="B13" s="5" t="s">
        <v>209</v>
      </c>
      <c r="C13" s="5">
        <v>0</v>
      </c>
      <c r="D13" s="6">
        <v>0.0036</v>
      </c>
      <c r="E13" s="5" t="str">
        <f>IF(OR(D13="",t=""),"",_xlfn.IFS(D13&gt;=t,"C",D13&gt;=t/2,"B",D13&gt;=t/4,"A",TRUE,"S"))</f>
        <v>S</v>
      </c>
    </row>
    <row r="14" spans="1:10">
      <c r="A14" s="5" t="s">
        <v>76</v>
      </c>
      <c r="B14" s="5" t="s">
        <v>209</v>
      </c>
      <c r="C14" s="5">
        <v>0</v>
      </c>
      <c r="D14" s="6">
        <v>0.0119</v>
      </c>
      <c r="E14" s="5" t="str">
        <f>IF(OR(D14="",t=""),"",_xlfn.IFS(D14&gt;=t,"C",D14&gt;=t/2,"B",D14&gt;=t/4,"A",TRUE,"S"))</f>
        <v>S</v>
      </c>
    </row>
    <row r="15" spans="1:10">
      <c r="A15" s="5" t="s">
        <v>83</v>
      </c>
      <c r="B15" s="5" t="s">
        <v>209</v>
      </c>
      <c r="C15" s="5">
        <v>0</v>
      </c>
      <c r="D15" s="6">
        <v>0.0068</v>
      </c>
      <c r="E15" s="5" t="str">
        <f>IF(OR(D15="",t=""),"",_xlfn.IFS(D15&gt;=t,"C",D15&gt;=t/2,"B",D15&gt;=t/4,"A",TRUE,"S"))</f>
        <v>S</v>
      </c>
    </row>
    <row r="16" spans="1:10">
      <c r="A16" s="5" t="s">
        <v>84</v>
      </c>
      <c r="B16" s="5" t="s">
        <v>209</v>
      </c>
      <c r="C16" s="5">
        <v>0</v>
      </c>
      <c r="D16" s="6">
        <v>0.0094</v>
      </c>
      <c r="E16" s="5" t="str">
        <f>IF(OR(D16="",t=""),"",_xlfn.IFS(D16&gt;=t,"C",D16&gt;=t/2,"B",D16&gt;=t/4,"A",TRUE,"S"))</f>
        <v>S</v>
      </c>
    </row>
    <row r="17" spans="1:5">
      <c r="A17" s="5" t="s">
        <v>87</v>
      </c>
      <c r="B17" s="5" t="s">
        <v>209</v>
      </c>
      <c r="C17" s="5">
        <v>0</v>
      </c>
      <c r="D17" s="6">
        <v>0.1209</v>
      </c>
      <c r="E17" s="5" t="str">
        <f>IF(OR(D17="",t=""),"",_xlfn.IFS(D17&gt;=t,"C",D17&gt;=t/2,"B",D17&gt;=t/4,"A",TRUE,"S"))</f>
        <v>B</v>
      </c>
    </row>
    <row r="18" spans="1:5">
      <c r="A18" s="5" t="s">
        <v>88</v>
      </c>
      <c r="B18" s="5" t="s">
        <v>209</v>
      </c>
      <c r="C18" s="5">
        <v>0</v>
      </c>
      <c r="D18" s="6">
        <v>0.0045</v>
      </c>
      <c r="E18" s="5" t="str">
        <f>IF(OR(D18="",t=""),"",_xlfn.IFS(D18&gt;=t,"C",D18&gt;=t/2,"B",D18&gt;=t/4,"A",TRUE,"S"))</f>
        <v>S</v>
      </c>
    </row>
    <row r="19" spans="1:5">
      <c r="A19" s="5" t="s">
        <v>95</v>
      </c>
      <c r="B19" s="5" t="s">
        <v>209</v>
      </c>
      <c r="C19" s="5">
        <v>0</v>
      </c>
      <c r="D19" s="6">
        <v>0.0035</v>
      </c>
      <c r="E19" s="5" t="str">
        <f>IF(OR(D19="",t=""),"",_xlfn.IFS(D19&gt;=t,"C",D19&gt;=t/2,"B",D19&gt;=t/4,"A",TRUE,"S"))</f>
        <v>S</v>
      </c>
    </row>
    <row r="20" spans="1:5">
      <c r="A20" s="5" t="s">
        <v>97</v>
      </c>
      <c r="B20" s="5" t="s">
        <v>209</v>
      </c>
      <c r="C20" s="5">
        <v>0</v>
      </c>
      <c r="D20" s="6">
        <v>0.0057</v>
      </c>
      <c r="E20" s="5" t="str">
        <f>IF(OR(D20="",t=""),"",_xlfn.IFS(D20&gt;=t,"C",D20&gt;=t/2,"B",D20&gt;=t/4,"A",TRUE,"S"))</f>
        <v>S</v>
      </c>
    </row>
    <row r="21" spans="1:5">
      <c r="A21" s="5" t="s">
        <v>100</v>
      </c>
      <c r="B21" s="5" t="s">
        <v>209</v>
      </c>
      <c r="C21" s="5">
        <v>0</v>
      </c>
      <c r="D21" s="6">
        <v>0.0048</v>
      </c>
      <c r="E21" s="5" t="str">
        <f>IF(OR(D21="",t=""),"",_xlfn.IFS(D21&gt;=t,"C",D21&gt;=t/2,"B",D21&gt;=t/4,"A",TRUE,"S"))</f>
        <v>S</v>
      </c>
    </row>
    <row r="22" spans="1:5">
      <c r="A22" s="5" t="s">
        <v>101</v>
      </c>
      <c r="B22" s="5" t="s">
        <v>209</v>
      </c>
      <c r="C22" s="5">
        <v>0</v>
      </c>
      <c r="D22" s="6">
        <v>0.1074</v>
      </c>
      <c r="E22" s="5" t="str">
        <f>IF(OR(D22="",t=""),"",_xlfn.IFS(D22&gt;=t,"C",D22&gt;=t/2,"B",D22&gt;=t/4,"A",TRUE,"S"))</f>
        <v>B</v>
      </c>
    </row>
    <row r="23" spans="1:5">
      <c r="A23" s="5" t="s">
        <v>104</v>
      </c>
      <c r="B23" s="5" t="s">
        <v>209</v>
      </c>
      <c r="C23" s="5">
        <v>0</v>
      </c>
      <c r="D23" s="6">
        <v>0.0043</v>
      </c>
      <c r="E23" s="5" t="str">
        <f>IF(OR(D23="",t=""),"",_xlfn.IFS(D23&gt;=t,"C",D23&gt;=t/2,"B",D23&gt;=t/4,"A",TRUE,"S"))</f>
        <v>S</v>
      </c>
    </row>
    <row r="24" spans="1:5">
      <c r="A24" s="5" t="s">
        <v>108</v>
      </c>
      <c r="B24" s="5" t="s">
        <v>209</v>
      </c>
      <c r="C24" s="5">
        <v>0</v>
      </c>
      <c r="D24" s="6">
        <v>0.0031</v>
      </c>
      <c r="E24" s="5" t="str">
        <f>IF(OR(D24="",t=""),"",_xlfn.IFS(D24&gt;=t,"C",D24&gt;=t/2,"B",D24&gt;=t/4,"A",TRUE,"S"))</f>
        <v>S</v>
      </c>
    </row>
    <row r="25" spans="1:5">
      <c r="A25" s="5" t="s">
        <v>110</v>
      </c>
      <c r="B25" s="5" t="s">
        <v>209</v>
      </c>
      <c r="C25" s="5">
        <v>0</v>
      </c>
      <c r="D25" s="6">
        <v>0.0059</v>
      </c>
      <c r="E25" s="5" t="str">
        <f>IF(OR(D25="",t=""),"",_xlfn.IFS(D25&gt;=t,"C",D25&gt;=t/2,"B",D25&gt;=t/4,"A",TRUE,"S"))</f>
        <v>S</v>
      </c>
    </row>
    <row r="26" spans="1:5">
      <c r="A26" s="5" t="s">
        <v>114</v>
      </c>
      <c r="B26" s="5" t="s">
        <v>209</v>
      </c>
      <c r="C26" s="5">
        <v>0</v>
      </c>
      <c r="D26" s="6">
        <v>0.1854</v>
      </c>
      <c r="E26" s="5" t="str">
        <f>IF(OR(D26="",t=""),"",_xlfn.IFS(D26&gt;=t,"C",D26&gt;=t/2,"B",D26&gt;=t/4,"A",TRUE,"S"))</f>
        <v>C</v>
      </c>
    </row>
    <row r="27" spans="1:5">
      <c r="A27" s="5" t="s">
        <v>117</v>
      </c>
      <c r="B27" s="5" t="s">
        <v>209</v>
      </c>
      <c r="C27" s="5">
        <v>0</v>
      </c>
      <c r="D27" s="6">
        <v>0.0044</v>
      </c>
      <c r="E27" s="5" t="str">
        <f>IF(OR(D27="",t=""),"",_xlfn.IFS(D27&gt;=t,"C",D27&gt;=t/2,"B",D27&gt;=t/4,"A",TRUE,"S"))</f>
        <v>S</v>
      </c>
    </row>
    <row r="28" spans="1:5">
      <c r="A28" s="5" t="s">
        <v>129</v>
      </c>
      <c r="B28" s="5" t="s">
        <v>209</v>
      </c>
      <c r="C28" s="5">
        <v>0</v>
      </c>
      <c r="D28" s="6">
        <v>0.0029</v>
      </c>
      <c r="E28" s="5" t="str">
        <f>IF(OR(D28="",t=""),"",_xlfn.IFS(D28&gt;=t,"C",D28&gt;=t/2,"B",D28&gt;=t/4,"A",TRUE,"S"))</f>
        <v>S</v>
      </c>
    </row>
    <row r="29" spans="1:5">
      <c r="A29" s="5" t="s">
        <v>130</v>
      </c>
      <c r="B29" s="5" t="s">
        <v>209</v>
      </c>
      <c r="C29" s="5">
        <v>0</v>
      </c>
      <c r="D29" s="6">
        <v>0.0031</v>
      </c>
      <c r="E29" s="5" t="str">
        <f>IF(OR(D29="",t=""),"",_xlfn.IFS(D29&gt;=t,"C",D29&gt;=t/2,"B",D29&gt;=t/4,"A",TRUE,"S"))</f>
        <v>S</v>
      </c>
    </row>
    <row r="30" spans="1:5">
      <c r="A30" s="5" t="s">
        <v>131</v>
      </c>
      <c r="B30" s="5" t="s">
        <v>209</v>
      </c>
      <c r="C30" s="5">
        <v>0</v>
      </c>
      <c r="D30" s="6">
        <v>0.008800000000000001</v>
      </c>
      <c r="E30" s="5" t="str">
        <f>IF(OR(D30="",t=""),"",_xlfn.IFS(D30&gt;=t,"C",D30&gt;=t/2,"B",D30&gt;=t/4,"A",TRUE,"S"))</f>
        <v>S</v>
      </c>
    </row>
    <row r="31" spans="1:5">
      <c r="A31" s="5" t="s">
        <v>134</v>
      </c>
      <c r="B31" s="5" t="s">
        <v>209</v>
      </c>
      <c r="C31" s="5">
        <v>0</v>
      </c>
      <c r="D31" s="6">
        <v>0.0042</v>
      </c>
      <c r="E31" s="5" t="str">
        <f>IF(OR(D31="",t=""),"",_xlfn.IFS(D31&gt;=t,"C",D31&gt;=t/2,"B",D31&gt;=t/4,"A",TRUE,"S"))</f>
        <v>S</v>
      </c>
    </row>
    <row r="32" spans="1:5">
      <c r="A32" s="5" t="s">
        <v>136</v>
      </c>
      <c r="B32" s="5" t="s">
        <v>209</v>
      </c>
      <c r="C32" s="5">
        <v>0</v>
      </c>
      <c r="D32" s="6">
        <v>0.0034</v>
      </c>
      <c r="E32" s="5" t="str">
        <f>IF(OR(D32="",t=""),"",_xlfn.IFS(D32&gt;=t,"C",D32&gt;=t/2,"B",D32&gt;=t/4,"A",TRUE,"S"))</f>
        <v>S</v>
      </c>
    </row>
    <row r="33" spans="1:5">
      <c r="A33" s="5" t="s">
        <v>137</v>
      </c>
      <c r="B33" s="5" t="s">
        <v>209</v>
      </c>
      <c r="C33" s="5">
        <v>0</v>
      </c>
      <c r="D33" s="6">
        <v>0.005</v>
      </c>
      <c r="E33" s="5" t="str">
        <f>IF(OR(D33="",t=""),"",_xlfn.IFS(D33&gt;=t,"C",D33&gt;=t/2,"B",D33&gt;=t/4,"A",TRUE,"S"))</f>
        <v>S</v>
      </c>
    </row>
    <row r="34" spans="1:5">
      <c r="A34" s="5" t="s">
        <v>139</v>
      </c>
      <c r="B34" s="5" t="s">
        <v>209</v>
      </c>
      <c r="C34" s="5">
        <v>0</v>
      </c>
      <c r="D34" s="6">
        <v>0.003</v>
      </c>
      <c r="E34" s="5" t="str">
        <f>IF(OR(D34="",t=""),"",_xlfn.IFS(D34&gt;=t,"C",D34&gt;=t/2,"B",D34&gt;=t/4,"A",TRUE,"S"))</f>
        <v>S</v>
      </c>
    </row>
    <row r="35" spans="1:5">
      <c r="A35" s="5" t="s">
        <v>147</v>
      </c>
      <c r="B35" s="5" t="s">
        <v>209</v>
      </c>
      <c r="C35" s="5">
        <v>0</v>
      </c>
      <c r="D35" s="6">
        <v>0.0032</v>
      </c>
      <c r="E35" s="5" t="str">
        <f>IF(OR(D35="",t=""),"",_xlfn.IFS(D35&gt;=t,"C",D35&gt;=t/2,"B",D35&gt;=t/4,"A",TRUE,"S"))</f>
        <v>S</v>
      </c>
    </row>
    <row r="36" spans="1:5">
      <c r="A36" s="5" t="s">
        <v>148</v>
      </c>
      <c r="B36" s="5" t="s">
        <v>209</v>
      </c>
      <c r="C36" s="5">
        <v>0</v>
      </c>
      <c r="D36" s="6">
        <v>0.0034</v>
      </c>
      <c r="E36" s="5" t="str">
        <f>IF(OR(D36="",t=""),"",_xlfn.IFS(D36&gt;=t,"C",D36&gt;=t/2,"B",D36&gt;=t/4,"A",TRUE,"S"))</f>
        <v>S</v>
      </c>
    </row>
    <row r="37" spans="1:5">
      <c r="A37" s="5" t="s">
        <v>152</v>
      </c>
      <c r="B37" s="5" t="s">
        <v>209</v>
      </c>
      <c r="C37" s="5">
        <v>0</v>
      </c>
      <c r="D37" s="6">
        <v>0.0031</v>
      </c>
      <c r="E37" s="5" t="str">
        <f>IF(OR(D37="",t=""),"",_xlfn.IFS(D37&gt;=t,"C",D37&gt;=t/2,"B",D37&gt;=t/4,"A",TRUE,"S"))</f>
        <v>S</v>
      </c>
    </row>
    <row r="38" spans="1:5">
      <c r="A38" s="5" t="s">
        <v>159</v>
      </c>
      <c r="B38" s="5" t="s">
        <v>209</v>
      </c>
      <c r="C38" s="5">
        <v>1</v>
      </c>
      <c r="D38" s="6">
        <v>0.6133</v>
      </c>
      <c r="E38" s="5" t="str">
        <f>IF(OR(D38="",t=""),"",_xlfn.IFS(D38&gt;=t,"C",D38&gt;=t/2,"B",D38&gt;=t/4,"A",TRUE,"S"))</f>
        <v>C</v>
      </c>
    </row>
    <row r="39" spans="1:5">
      <c r="A39" s="5" t="s">
        <v>160</v>
      </c>
      <c r="B39" s="5" t="s">
        <v>209</v>
      </c>
      <c r="C39" s="5">
        <v>0</v>
      </c>
      <c r="D39" s="6">
        <v>0.0034</v>
      </c>
      <c r="E39" s="5" t="str">
        <f>IF(OR(D39="",t=""),"",_xlfn.IFS(D39&gt;=t,"C",D39&gt;=t/2,"B",D39&gt;=t/4,"A",TRUE,"S"))</f>
        <v>S</v>
      </c>
    </row>
    <row r="40" spans="1:5">
      <c r="A40" s="5" t="s">
        <v>164</v>
      </c>
      <c r="B40" s="5" t="s">
        <v>209</v>
      </c>
      <c r="C40" s="5">
        <v>0</v>
      </c>
      <c r="D40" s="6">
        <v>0.0077</v>
      </c>
      <c r="E40" s="5" t="str">
        <f>IF(OR(D40="",t=""),"",_xlfn.IFS(D40&gt;=t,"C",D40&gt;=t/2,"B",D40&gt;=t/4,"A",TRUE,"S"))</f>
        <v>S</v>
      </c>
    </row>
    <row r="41" spans="1:5">
      <c r="A41" s="5" t="s">
        <v>166</v>
      </c>
      <c r="B41" s="5" t="s">
        <v>209</v>
      </c>
      <c r="C41" s="5">
        <v>0</v>
      </c>
      <c r="D41" s="6">
        <v>0.0045</v>
      </c>
      <c r="E41" s="5" t="str">
        <f>IF(OR(D41="",t=""),"",_xlfn.IFS(D41&gt;=t,"C",D41&gt;=t/2,"B",D41&gt;=t/4,"A",TRUE,"S"))</f>
        <v>S</v>
      </c>
    </row>
    <row r="42" spans="1:5">
      <c r="A42" s="5" t="s">
        <v>171</v>
      </c>
      <c r="B42" s="5" t="s">
        <v>209</v>
      </c>
      <c r="C42" s="5">
        <v>0</v>
      </c>
      <c r="D42" s="6">
        <v>0.0033</v>
      </c>
      <c r="E42" s="5" t="str">
        <f>IF(OR(D42="",t=""),"",_xlfn.IFS(D42&gt;=t,"C",D42&gt;=t/2,"B",D42&gt;=t/4,"A",TRUE,"S"))</f>
        <v>S</v>
      </c>
    </row>
    <row r="43" spans="1:5">
      <c r="A43" s="5" t="s">
        <v>173</v>
      </c>
      <c r="B43" s="5" t="s">
        <v>209</v>
      </c>
      <c r="C43" s="5">
        <v>0</v>
      </c>
      <c r="D43" s="6">
        <v>0.0066</v>
      </c>
      <c r="E43" s="5" t="str">
        <f>IF(OR(D43="",t=""),"",_xlfn.IFS(D43&gt;=t,"C",D43&gt;=t/2,"B",D43&gt;=t/4,"A",TRUE,"S"))</f>
        <v>S</v>
      </c>
    </row>
    <row r="44" spans="1:5">
      <c r="A44" s="5" t="s">
        <v>174</v>
      </c>
      <c r="B44" s="5" t="s">
        <v>209</v>
      </c>
      <c r="C44" s="5">
        <v>0</v>
      </c>
      <c r="D44" s="6">
        <v>0.0055</v>
      </c>
      <c r="E44" s="5" t="str">
        <f>IF(OR(D44="",t=""),"",_xlfn.IFS(D44&gt;=t,"C",D44&gt;=t/2,"B",D44&gt;=t/4,"A",TRUE,"S"))</f>
        <v>S</v>
      </c>
    </row>
    <row r="45" spans="1:5">
      <c r="A45" s="5" t="s">
        <v>177</v>
      </c>
      <c r="B45" s="5" t="s">
        <v>209</v>
      </c>
      <c r="C45" s="5">
        <v>0</v>
      </c>
      <c r="D45" s="6">
        <v>0.0633</v>
      </c>
      <c r="E45" s="5" t="str">
        <f>IF(OR(D45="",t=""),"",_xlfn.IFS(D45&gt;=t,"C",D45&gt;=t/2,"B",D45&gt;=t/4,"A",TRUE,"S"))</f>
        <v>A</v>
      </c>
    </row>
    <row r="46" spans="1:5">
      <c r="A46" s="5" t="s">
        <v>32</v>
      </c>
      <c r="B46" s="5" t="s">
        <v>210</v>
      </c>
      <c r="C46" s="5">
        <v>0</v>
      </c>
      <c r="D46" s="6">
        <v>0.0066</v>
      </c>
      <c r="E46" s="5" t="str">
        <f>IF(OR(D46="",t=""),"",_xlfn.IFS(D46&gt;=t,"C",D46&gt;=t/2,"B",D46&gt;=t/4,"A",TRUE,"S"))</f>
        <v>S</v>
      </c>
    </row>
    <row r="47" spans="1:5">
      <c r="A47" s="5" t="s">
        <v>34</v>
      </c>
      <c r="B47" s="5" t="s">
        <v>210</v>
      </c>
      <c r="C47" s="5">
        <v>0</v>
      </c>
      <c r="D47" s="6">
        <v>0.0032</v>
      </c>
      <c r="E47" s="5" t="str">
        <f>IF(OR(D47="",t=""),"",_xlfn.IFS(D47&gt;=t,"C",D47&gt;=t/2,"B",D47&gt;=t/4,"A",TRUE,"S"))</f>
        <v>S</v>
      </c>
    </row>
    <row r="48" spans="1:5">
      <c r="A48" s="5" t="s">
        <v>39</v>
      </c>
      <c r="B48" s="5" t="s">
        <v>210</v>
      </c>
      <c r="C48" s="5">
        <v>0</v>
      </c>
      <c r="D48" s="6">
        <v>0.0051</v>
      </c>
      <c r="E48" s="5" t="str">
        <f>IF(OR(D48="",t=""),"",_xlfn.IFS(D48&gt;=t,"C",D48&gt;=t/2,"B",D48&gt;=t/4,"A",TRUE,"S"))</f>
        <v>S</v>
      </c>
    </row>
    <row r="49" spans="1:5">
      <c r="A49" s="5" t="s">
        <v>42</v>
      </c>
      <c r="B49" s="5" t="s">
        <v>210</v>
      </c>
      <c r="C49" s="5">
        <v>0</v>
      </c>
      <c r="D49" s="6">
        <v>0.0031</v>
      </c>
      <c r="E49" s="5" t="str">
        <f>IF(OR(D49="",t=""),"",_xlfn.IFS(D49&gt;=t,"C",D49&gt;=t/2,"B",D49&gt;=t/4,"A",TRUE,"S"))</f>
        <v>S</v>
      </c>
    </row>
    <row r="50" spans="1:5">
      <c r="A50" s="5" t="s">
        <v>43</v>
      </c>
      <c r="B50" s="5" t="s">
        <v>210</v>
      </c>
      <c r="C50" s="5">
        <v>0</v>
      </c>
      <c r="D50" s="6">
        <v>0.0034</v>
      </c>
      <c r="E50" s="5" t="str">
        <f>IF(OR(D50="",t=""),"",_xlfn.IFS(D50&gt;=t,"C",D50&gt;=t/2,"B",D50&gt;=t/4,"A",TRUE,"S"))</f>
        <v>S</v>
      </c>
    </row>
    <row r="51" spans="1:5">
      <c r="A51" s="5" t="s">
        <v>44</v>
      </c>
      <c r="B51" s="5" t="s">
        <v>210</v>
      </c>
      <c r="C51" s="5">
        <v>0</v>
      </c>
      <c r="D51" s="6">
        <v>0.0032</v>
      </c>
      <c r="E51" s="5" t="str">
        <f>IF(OR(D51="",t=""),"",_xlfn.IFS(D51&gt;=t,"C",D51&gt;=t/2,"B",D51&gt;=t/4,"A",TRUE,"S"))</f>
        <v>S</v>
      </c>
    </row>
    <row r="52" spans="1:5">
      <c r="A52" s="5" t="s">
        <v>45</v>
      </c>
      <c r="B52" s="5" t="s">
        <v>210</v>
      </c>
      <c r="C52" s="5">
        <v>0</v>
      </c>
      <c r="D52" s="6">
        <v>0.0045</v>
      </c>
      <c r="E52" s="5" t="str">
        <f>IF(OR(D52="",t=""),"",_xlfn.IFS(D52&gt;=t,"C",D52&gt;=t/2,"B",D52&gt;=t/4,"A",TRUE,"S"))</f>
        <v>S</v>
      </c>
    </row>
    <row r="53" spans="1:5">
      <c r="A53" s="5" t="s">
        <v>48</v>
      </c>
      <c r="B53" s="5" t="s">
        <v>210</v>
      </c>
      <c r="C53" s="5">
        <v>0</v>
      </c>
      <c r="D53" s="6">
        <v>0.0065</v>
      </c>
      <c r="E53" s="5" t="str">
        <f>IF(OR(D53="",t=""),"",_xlfn.IFS(D53&gt;=t,"C",D53&gt;=t/2,"B",D53&gt;=t/4,"A",TRUE,"S"))</f>
        <v>S</v>
      </c>
    </row>
    <row r="54" spans="1:5">
      <c r="A54" s="5" t="s">
        <v>52</v>
      </c>
      <c r="B54" s="5" t="s">
        <v>210</v>
      </c>
      <c r="C54" s="5">
        <v>1</v>
      </c>
      <c r="D54" s="6">
        <v>0.0617</v>
      </c>
      <c r="E54" s="5" t="str">
        <f>IF(OR(D54="",t=""),"",_xlfn.IFS(D54&gt;=t,"C",D54&gt;=t/2,"B",D54&gt;=t/4,"A",TRUE,"S"))</f>
        <v>A</v>
      </c>
    </row>
    <row r="55" spans="1:5">
      <c r="A55" s="5" t="s">
        <v>53</v>
      </c>
      <c r="B55" s="5" t="s">
        <v>210</v>
      </c>
      <c r="C55" s="5">
        <v>0</v>
      </c>
      <c r="D55" s="6">
        <v>0.1084</v>
      </c>
      <c r="E55" s="5" t="str">
        <f>IF(OR(D55="",t=""),"",_xlfn.IFS(D55&gt;=t,"C",D55&gt;=t/2,"B",D55&gt;=t/4,"A",TRUE,"S"))</f>
        <v>B</v>
      </c>
    </row>
    <row r="56" spans="1:5">
      <c r="A56" s="5" t="s">
        <v>65</v>
      </c>
      <c r="B56" s="5" t="s">
        <v>210</v>
      </c>
      <c r="C56" s="5">
        <v>0</v>
      </c>
      <c r="D56" s="6">
        <v>0.003</v>
      </c>
      <c r="E56" s="5" t="str">
        <f>IF(OR(D56="",t=""),"",_xlfn.IFS(D56&gt;=t,"C",D56&gt;=t/2,"B",D56&gt;=t/4,"A",TRUE,"S"))</f>
        <v>S</v>
      </c>
    </row>
    <row r="57" spans="1:5">
      <c r="A57" s="5" t="s">
        <v>75</v>
      </c>
      <c r="B57" s="5" t="s">
        <v>210</v>
      </c>
      <c r="C57" s="5">
        <v>0</v>
      </c>
      <c r="D57" s="6">
        <v>0.0041</v>
      </c>
      <c r="E57" s="5" t="str">
        <f>IF(OR(D57="",t=""),"",_xlfn.IFS(D57&gt;=t,"C",D57&gt;=t/2,"B",D57&gt;=t/4,"A",TRUE,"S"))</f>
        <v>S</v>
      </c>
    </row>
    <row r="58" spans="1:5">
      <c r="A58" s="5" t="s">
        <v>76</v>
      </c>
      <c r="B58" s="5" t="s">
        <v>210</v>
      </c>
      <c r="C58" s="5">
        <v>0</v>
      </c>
      <c r="D58" s="6">
        <v>0.0031</v>
      </c>
      <c r="E58" s="5" t="str">
        <f>IF(OR(D58="",t=""),"",_xlfn.IFS(D58&gt;=t,"C",D58&gt;=t/2,"B",D58&gt;=t/4,"A",TRUE,"S"))</f>
        <v>S</v>
      </c>
    </row>
    <row r="59" spans="1:5">
      <c r="A59" s="5" t="s">
        <v>83</v>
      </c>
      <c r="B59" s="5" t="s">
        <v>210</v>
      </c>
      <c r="C59" s="5">
        <v>0</v>
      </c>
      <c r="D59" s="6">
        <v>0.0106</v>
      </c>
      <c r="E59" s="5" t="str">
        <f>IF(OR(D59="",t=""),"",_xlfn.IFS(D59&gt;=t,"C",D59&gt;=t/2,"B",D59&gt;=t/4,"A",TRUE,"S"))</f>
        <v>S</v>
      </c>
    </row>
    <row r="60" spans="1:5">
      <c r="A60" s="5" t="s">
        <v>84</v>
      </c>
      <c r="B60" s="5" t="s">
        <v>210</v>
      </c>
      <c r="C60" s="5">
        <v>0</v>
      </c>
      <c r="D60" s="6">
        <v>0.0072</v>
      </c>
      <c r="E60" s="5" t="str">
        <f>IF(OR(D60="",t=""),"",_xlfn.IFS(D60&gt;=t,"C",D60&gt;=t/2,"B",D60&gt;=t/4,"A",TRUE,"S"))</f>
        <v>S</v>
      </c>
    </row>
    <row r="61" spans="1:5">
      <c r="A61" s="5" t="s">
        <v>87</v>
      </c>
      <c r="B61" s="5" t="s">
        <v>210</v>
      </c>
      <c r="C61" s="5">
        <v>0</v>
      </c>
      <c r="D61" s="6">
        <v>0.0162</v>
      </c>
      <c r="E61" s="5" t="str">
        <f>IF(OR(D61="",t=""),"",_xlfn.IFS(D61&gt;=t,"C",D61&gt;=t/2,"B",D61&gt;=t/4,"A",TRUE,"S"))</f>
        <v>S</v>
      </c>
    </row>
    <row r="62" spans="1:5">
      <c r="A62" s="5" t="s">
        <v>88</v>
      </c>
      <c r="B62" s="5" t="s">
        <v>210</v>
      </c>
      <c r="C62" s="5">
        <v>0</v>
      </c>
      <c r="D62" s="6">
        <v>0.0063</v>
      </c>
      <c r="E62" s="5" t="str">
        <f>IF(OR(D62="",t=""),"",_xlfn.IFS(D62&gt;=t,"C",D62&gt;=t/2,"B",D62&gt;=t/4,"A",TRUE,"S"))</f>
        <v>S</v>
      </c>
    </row>
    <row r="63" spans="1:5">
      <c r="A63" s="5" t="s">
        <v>95</v>
      </c>
      <c r="B63" s="5" t="s">
        <v>210</v>
      </c>
      <c r="C63" s="5">
        <v>0</v>
      </c>
      <c r="D63" s="6">
        <v>0.0031</v>
      </c>
      <c r="E63" s="5" t="str">
        <f>IF(OR(D63="",t=""),"",_xlfn.IFS(D63&gt;=t,"C",D63&gt;=t/2,"B",D63&gt;=t/4,"A",TRUE,"S"))</f>
        <v>S</v>
      </c>
    </row>
    <row r="64" spans="1:5">
      <c r="A64" s="5" t="s">
        <v>97</v>
      </c>
      <c r="B64" s="5" t="s">
        <v>210</v>
      </c>
      <c r="C64" s="5">
        <v>0</v>
      </c>
      <c r="D64" s="6">
        <v>0.0043</v>
      </c>
      <c r="E64" s="5" t="str">
        <f>IF(OR(D64="",t=""),"",_xlfn.IFS(D64&gt;=t,"C",D64&gt;=t/2,"B",D64&gt;=t/4,"A",TRUE,"S"))</f>
        <v>S</v>
      </c>
    </row>
    <row r="65" spans="1:5">
      <c r="A65" s="5" t="s">
        <v>100</v>
      </c>
      <c r="B65" s="5" t="s">
        <v>210</v>
      </c>
      <c r="C65" s="5">
        <v>0</v>
      </c>
      <c r="D65" s="6">
        <v>0.0053</v>
      </c>
      <c r="E65" s="5" t="str">
        <f>IF(OR(D65="",t=""),"",_xlfn.IFS(D65&gt;=t,"C",D65&gt;=t/2,"B",D65&gt;=t/4,"A",TRUE,"S"))</f>
        <v>S</v>
      </c>
    </row>
    <row r="66" spans="1:5">
      <c r="A66" s="5" t="s">
        <v>101</v>
      </c>
      <c r="B66" s="5" t="s">
        <v>210</v>
      </c>
      <c r="C66" s="5">
        <v>0</v>
      </c>
      <c r="D66" s="6">
        <v>0.1006</v>
      </c>
      <c r="E66" s="5" t="str">
        <f>IF(OR(D66="",t=""),"",_xlfn.IFS(D66&gt;=t,"C",D66&gt;=t/2,"B",D66&gt;=t/4,"A",TRUE,"S"))</f>
        <v>B</v>
      </c>
    </row>
    <row r="67" spans="1:5">
      <c r="A67" s="5" t="s">
        <v>104</v>
      </c>
      <c r="B67" s="5" t="s">
        <v>210</v>
      </c>
      <c r="C67" s="5">
        <v>0</v>
      </c>
      <c r="D67" s="6">
        <v>0.0086</v>
      </c>
      <c r="E67" s="5" t="str">
        <f>IF(OR(D67="",t=""),"",_xlfn.IFS(D67&gt;=t,"C",D67&gt;=t/2,"B",D67&gt;=t/4,"A",TRUE,"S"))</f>
        <v>S</v>
      </c>
    </row>
    <row r="68" spans="1:5">
      <c r="A68" s="5" t="s">
        <v>108</v>
      </c>
      <c r="B68" s="5" t="s">
        <v>210</v>
      </c>
      <c r="C68" s="5">
        <v>0</v>
      </c>
      <c r="D68" s="6">
        <v>0.0089</v>
      </c>
      <c r="E68" s="5" t="str">
        <f>IF(OR(D68="",t=""),"",_xlfn.IFS(D68&gt;=t,"C",D68&gt;=t/2,"B",D68&gt;=t/4,"A",TRUE,"S"))</f>
        <v>S</v>
      </c>
    </row>
    <row r="69" spans="1:5">
      <c r="A69" s="5" t="s">
        <v>110</v>
      </c>
      <c r="B69" s="5" t="s">
        <v>210</v>
      </c>
      <c r="C69" s="5">
        <v>0</v>
      </c>
      <c r="D69" s="6">
        <v>0.0049</v>
      </c>
      <c r="E69" s="5" t="str">
        <f>IF(OR(D69="",t=""),"",_xlfn.IFS(D69&gt;=t,"C",D69&gt;=t/2,"B",D69&gt;=t/4,"A",TRUE,"S"))</f>
        <v>S</v>
      </c>
    </row>
    <row r="70" spans="1:5">
      <c r="A70" s="5" t="s">
        <v>114</v>
      </c>
      <c r="B70" s="5" t="s">
        <v>210</v>
      </c>
      <c r="C70" s="5">
        <v>0</v>
      </c>
      <c r="D70" s="6">
        <v>0.0108</v>
      </c>
      <c r="E70" s="5" t="str">
        <f>IF(OR(D70="",t=""),"",_xlfn.IFS(D70&gt;=t,"C",D70&gt;=t/2,"B",D70&gt;=t/4,"A",TRUE,"S"))</f>
        <v>S</v>
      </c>
    </row>
    <row r="71" spans="1:5">
      <c r="A71" s="5" t="s">
        <v>117</v>
      </c>
      <c r="B71" s="5" t="s">
        <v>210</v>
      </c>
      <c r="C71" s="5">
        <v>1</v>
      </c>
      <c r="D71" s="6">
        <v>0.1583</v>
      </c>
      <c r="E71" s="5" t="str">
        <f>IF(OR(D71="",t=""),"",_xlfn.IFS(D71&gt;=t,"C",D71&gt;=t/2,"B",D71&gt;=t/4,"A",TRUE,"S"))</f>
        <v>B</v>
      </c>
    </row>
    <row r="72" spans="1:5">
      <c r="A72" s="5" t="s">
        <v>129</v>
      </c>
      <c r="B72" s="5" t="s">
        <v>210</v>
      </c>
      <c r="C72" s="5">
        <v>0</v>
      </c>
      <c r="D72" s="6">
        <v>0.003</v>
      </c>
      <c r="E72" s="5" t="str">
        <f>IF(OR(D72="",t=""),"",_xlfn.IFS(D72&gt;=t,"C",D72&gt;=t/2,"B",D72&gt;=t/4,"A",TRUE,"S"))</f>
        <v>S</v>
      </c>
    </row>
    <row r="73" spans="1:5">
      <c r="A73" s="5" t="s">
        <v>130</v>
      </c>
      <c r="B73" s="5" t="s">
        <v>210</v>
      </c>
      <c r="C73" s="5">
        <v>0</v>
      </c>
      <c r="D73" s="6">
        <v>0.003</v>
      </c>
      <c r="E73" s="5" t="str">
        <f>IF(OR(D73="",t=""),"",_xlfn.IFS(D73&gt;=t,"C",D73&gt;=t/2,"B",D73&gt;=t/4,"A",TRUE,"S"))</f>
        <v>S</v>
      </c>
    </row>
    <row r="74" spans="1:5">
      <c r="A74" s="5" t="s">
        <v>131</v>
      </c>
      <c r="B74" s="5" t="s">
        <v>210</v>
      </c>
      <c r="C74" s="5">
        <v>0</v>
      </c>
      <c r="D74" s="6">
        <v>0.437</v>
      </c>
      <c r="E74" s="5" t="str">
        <f>IF(OR(D74="",t=""),"",_xlfn.IFS(D74&gt;=t,"C",D74&gt;=t/2,"B",D74&gt;=t/4,"A",TRUE,"S"))</f>
        <v>C</v>
      </c>
    </row>
    <row r="75" spans="1:5">
      <c r="A75" s="5" t="s">
        <v>134</v>
      </c>
      <c r="B75" s="5" t="s">
        <v>210</v>
      </c>
      <c r="C75" s="5">
        <v>0</v>
      </c>
      <c r="D75" s="6">
        <v>0.009599999999999999</v>
      </c>
      <c r="E75" s="5" t="str">
        <f>IF(OR(D75="",t=""),"",_xlfn.IFS(D75&gt;=t,"C",D75&gt;=t/2,"B",D75&gt;=t/4,"A",TRUE,"S"))</f>
        <v>S</v>
      </c>
    </row>
    <row r="76" spans="1:5">
      <c r="A76" s="5" t="s">
        <v>136</v>
      </c>
      <c r="B76" s="5" t="s">
        <v>210</v>
      </c>
      <c r="C76" s="5">
        <v>0</v>
      </c>
      <c r="D76" s="6">
        <v>0.0036</v>
      </c>
      <c r="E76" s="5" t="str">
        <f>IF(OR(D76="",t=""),"",_xlfn.IFS(D76&gt;=t,"C",D76&gt;=t/2,"B",D76&gt;=t/4,"A",TRUE,"S"))</f>
        <v>S</v>
      </c>
    </row>
    <row r="77" spans="1:5">
      <c r="A77" s="5" t="s">
        <v>137</v>
      </c>
      <c r="B77" s="5" t="s">
        <v>210</v>
      </c>
      <c r="C77" s="5">
        <v>0</v>
      </c>
      <c r="D77" s="6">
        <v>0.0059</v>
      </c>
      <c r="E77" s="5" t="str">
        <f>IF(OR(D77="",t=""),"",_xlfn.IFS(D77&gt;=t,"C",D77&gt;=t/2,"B",D77&gt;=t/4,"A",TRUE,"S"))</f>
        <v>S</v>
      </c>
    </row>
    <row r="78" spans="1:5">
      <c r="A78" s="5" t="s">
        <v>139</v>
      </c>
      <c r="B78" s="5" t="s">
        <v>210</v>
      </c>
      <c r="C78" s="5">
        <v>0</v>
      </c>
      <c r="D78" s="6">
        <v>0.0033</v>
      </c>
      <c r="E78" s="5" t="str">
        <f>IF(OR(D78="",t=""),"",_xlfn.IFS(D78&gt;=t,"C",D78&gt;=t/2,"B",D78&gt;=t/4,"A",TRUE,"S"))</f>
        <v>S</v>
      </c>
    </row>
    <row r="79" spans="1:5">
      <c r="A79" s="5" t="s">
        <v>147</v>
      </c>
      <c r="B79" s="5" t="s">
        <v>210</v>
      </c>
      <c r="C79" s="5">
        <v>0</v>
      </c>
      <c r="D79" s="6">
        <v>0.0033</v>
      </c>
      <c r="E79" s="5" t="str">
        <f>IF(OR(D79="",t=""),"",_xlfn.IFS(D79&gt;=t,"C",D79&gt;=t/2,"B",D79&gt;=t/4,"A",TRUE,"S"))</f>
        <v>S</v>
      </c>
    </row>
    <row r="80" spans="1:5">
      <c r="A80" s="5" t="s">
        <v>148</v>
      </c>
      <c r="B80" s="5" t="s">
        <v>210</v>
      </c>
      <c r="C80" s="5">
        <v>1</v>
      </c>
      <c r="D80" s="6">
        <v>0.2337</v>
      </c>
      <c r="E80" s="5" t="str">
        <f>IF(OR(D80="",t=""),"",_xlfn.IFS(D80&gt;=t,"C",D80&gt;=t/2,"B",D80&gt;=t/4,"A",TRUE,"S"))</f>
        <v>C</v>
      </c>
    </row>
    <row r="81" spans="1:5">
      <c r="A81" s="5" t="s">
        <v>152</v>
      </c>
      <c r="B81" s="5" t="s">
        <v>210</v>
      </c>
      <c r="C81" s="5">
        <v>0</v>
      </c>
      <c r="D81" s="6">
        <v>0.0029</v>
      </c>
      <c r="E81" s="5" t="str">
        <f>IF(OR(D81="",t=""),"",_xlfn.IFS(D81&gt;=t,"C",D81&gt;=t/2,"B",D81&gt;=t/4,"A",TRUE,"S"))</f>
        <v>S</v>
      </c>
    </row>
    <row r="82" spans="1:5">
      <c r="A82" s="5" t="s">
        <v>159</v>
      </c>
      <c r="B82" s="5" t="s">
        <v>210</v>
      </c>
      <c r="C82" s="5">
        <v>0</v>
      </c>
      <c r="D82" s="6">
        <v>0.0114</v>
      </c>
      <c r="E82" s="5" t="str">
        <f>IF(OR(D82="",t=""),"",_xlfn.IFS(D82&gt;=t,"C",D82&gt;=t/2,"B",D82&gt;=t/4,"A",TRUE,"S"))</f>
        <v>S</v>
      </c>
    </row>
    <row r="83" spans="1:5">
      <c r="A83" s="5" t="s">
        <v>160</v>
      </c>
      <c r="B83" s="5" t="s">
        <v>210</v>
      </c>
      <c r="C83" s="5">
        <v>0</v>
      </c>
      <c r="D83" s="6">
        <v>0.0035</v>
      </c>
      <c r="E83" s="5" t="str">
        <f>IF(OR(D83="",t=""),"",_xlfn.IFS(D83&gt;=t,"C",D83&gt;=t/2,"B",D83&gt;=t/4,"A",TRUE,"S"))</f>
        <v>S</v>
      </c>
    </row>
    <row r="84" spans="1:5">
      <c r="A84" s="5" t="s">
        <v>164</v>
      </c>
      <c r="B84" s="5" t="s">
        <v>210</v>
      </c>
      <c r="C84" s="5">
        <v>0</v>
      </c>
      <c r="D84" s="6">
        <v>0.6373</v>
      </c>
      <c r="E84" s="5" t="str">
        <f>IF(OR(D84="",t=""),"",_xlfn.IFS(D84&gt;=t,"C",D84&gt;=t/2,"B",D84&gt;=t/4,"A",TRUE,"S"))</f>
        <v>C</v>
      </c>
    </row>
    <row r="85" spans="1:5">
      <c r="A85" s="5" t="s">
        <v>166</v>
      </c>
      <c r="B85" s="5" t="s">
        <v>210</v>
      </c>
      <c r="C85" s="5">
        <v>0</v>
      </c>
      <c r="D85" s="6">
        <v>0.0127</v>
      </c>
      <c r="E85" s="5" t="str">
        <f>IF(OR(D85="",t=""),"",_xlfn.IFS(D85&gt;=t,"C",D85&gt;=t/2,"B",D85&gt;=t/4,"A",TRUE,"S"))</f>
        <v>S</v>
      </c>
    </row>
    <row r="86" spans="1:5">
      <c r="A86" s="5" t="s">
        <v>171</v>
      </c>
      <c r="B86" s="5" t="s">
        <v>210</v>
      </c>
      <c r="C86" s="5">
        <v>0</v>
      </c>
      <c r="D86" s="6">
        <v>0.0046</v>
      </c>
      <c r="E86" s="5" t="str">
        <f>IF(OR(D86="",t=""),"",_xlfn.IFS(D86&gt;=t,"C",D86&gt;=t/2,"B",D86&gt;=t/4,"A",TRUE,"S"))</f>
        <v>S</v>
      </c>
    </row>
    <row r="87" spans="1:5">
      <c r="A87" s="5" t="s">
        <v>173</v>
      </c>
      <c r="B87" s="5" t="s">
        <v>210</v>
      </c>
      <c r="C87" s="5">
        <v>0</v>
      </c>
      <c r="D87" s="6">
        <v>0.0047</v>
      </c>
      <c r="E87" s="5" t="str">
        <f>IF(OR(D87="",t=""),"",_xlfn.IFS(D87&gt;=t,"C",D87&gt;=t/2,"B",D87&gt;=t/4,"A",TRUE,"S"))</f>
        <v>S</v>
      </c>
    </row>
    <row r="88" spans="1:5">
      <c r="A88" s="5" t="s">
        <v>174</v>
      </c>
      <c r="B88" s="5" t="s">
        <v>210</v>
      </c>
      <c r="C88" s="5">
        <v>0</v>
      </c>
      <c r="D88" s="6">
        <v>0.0132</v>
      </c>
      <c r="E88" s="5" t="str">
        <f>IF(OR(D88="",t=""),"",_xlfn.IFS(D88&gt;=t,"C",D88&gt;=t/2,"B",D88&gt;=t/4,"A",TRUE,"S"))</f>
        <v>S</v>
      </c>
    </row>
    <row r="89" spans="1:5">
      <c r="A89" s="5" t="s">
        <v>177</v>
      </c>
      <c r="B89" s="5" t="s">
        <v>210</v>
      </c>
      <c r="C89" s="5">
        <v>0</v>
      </c>
      <c r="D89" s="6">
        <v>0.2139</v>
      </c>
      <c r="E89" s="5" t="str">
        <f>IF(OR(D89="",t=""),"",_xlfn.IFS(D89&gt;=t,"C",D89&gt;=t/2,"B",D89&gt;=t/4,"A",TRUE,"S"))</f>
        <v>C</v>
      </c>
    </row>
    <row r="90" spans="1:5">
      <c r="E90" s="5">
        <f>IF(OR(D90="",t=""),"",_xlfn.IFS(D90&gt;=t,"C",D90&gt;=t/2,"B",D90&gt;=t/4,"A",TRUE,"S"))</f>
        <v/>
      </c>
    </row>
    <row r="91" spans="1:5">
      <c r="E91" s="5">
        <f>IF(OR(D91="",t=""),"",_xlfn.IFS(D91&gt;=t,"C",D91&gt;=t/2,"B",D91&gt;=t/4,"A",TRUE,"S"))</f>
        <v/>
      </c>
    </row>
    <row r="92" spans="1:5">
      <c r="E92" s="5">
        <f>IF(OR(D92="",t=""),"",_xlfn.IFS(D92&gt;=t,"C",D92&gt;=t/2,"B",D92&gt;=t/4,"A",TRUE,"S"))</f>
        <v/>
      </c>
    </row>
    <row r="93" spans="1:5">
      <c r="E93" s="5">
        <f>IF(OR(D93="",t=""),"",_xlfn.IFS(D93&gt;=t,"C",D93&gt;=t/2,"B",D93&gt;=t/4,"A",TRUE,"S"))</f>
        <v/>
      </c>
    </row>
    <row r="94" spans="1:5">
      <c r="E94" s="5">
        <f>IF(OR(D94="",t=""),"",_xlfn.IFS(D94&gt;=t,"C",D94&gt;=t/2,"B",D94&gt;=t/4,"A",TRUE,"S"))</f>
        <v/>
      </c>
    </row>
    <row r="95" spans="1:5">
      <c r="E95" s="5">
        <f>IF(OR(D95="",t=""),"",_xlfn.IFS(D95&gt;=t,"C",D95&gt;=t/2,"B",D95&gt;=t/4,"A",TRUE,"S"))</f>
        <v/>
      </c>
    </row>
    <row r="96" spans="1:5">
      <c r="E96" s="5">
        <f>IF(OR(D96="",t=""),"",_xlfn.IFS(D96&gt;=t,"C",D96&gt;=t/2,"B",D96&gt;=t/4,"A",TRUE,"S"))</f>
        <v/>
      </c>
    </row>
    <row r="97" spans="5:5">
      <c r="E97" s="5">
        <f>IF(OR(D97="",t=""),"",_xlfn.IFS(D97&gt;=t,"C",D97&gt;=t/2,"B",D97&gt;=t/4,"A",TRUE,"S"))</f>
        <v/>
      </c>
    </row>
    <row r="98" spans="5:5">
      <c r="E98" s="5">
        <f>IF(OR(D98="",t=""),"",_xlfn.IFS(D98&gt;=t,"C",D98&gt;=t/2,"B",D98&gt;=t/4,"A",TRUE,"S"))</f>
        <v/>
      </c>
    </row>
    <row r="99" spans="5:5">
      <c r="E99" s="5">
        <f>IF(OR(D99="",t=""),"",_xlfn.IFS(D99&gt;=t,"C",D99&gt;=t/2,"B",D99&gt;=t/4,"A",TRUE,"S"))</f>
        <v/>
      </c>
    </row>
    <row r="100" spans="5:5">
      <c r="E100" s="5">
        <f>IF(OR(D100="",t=""),"",_xlfn.IFS(D100&gt;=t,"C",D100&gt;=t/2,"B",D100&gt;=t/4,"A",TRUE,"S"))</f>
        <v/>
      </c>
    </row>
    <row r="101" spans="5:5">
      <c r="E101" s="5">
        <f>IF(OR(D101="",t=""),"",_xlfn.IFS(D101&gt;=t,"C",D101&gt;=t/2,"B",D101&gt;=t/4,"A",TRUE,"S"))</f>
        <v/>
      </c>
    </row>
    <row r="102" spans="5:5">
      <c r="E102" s="5">
        <f>IF(OR(D102="",t=""),"",_xlfn.IFS(D102&gt;=t,"C",D102&gt;=t/2,"B",D102&gt;=t/4,"A",TRUE,"S"))</f>
        <v/>
      </c>
    </row>
    <row r="103" spans="5:5">
      <c r="E103" s="5">
        <f>IF(OR(D103="",t=""),"",_xlfn.IFS(D103&gt;=t,"C",D103&gt;=t/2,"B",D103&gt;=t/4,"A",TRUE,"S"))</f>
        <v/>
      </c>
    </row>
    <row r="104" spans="5:5">
      <c r="E104" s="5">
        <f>IF(OR(D104="",t=""),"",_xlfn.IFS(D104&gt;=t,"C",D104&gt;=t/2,"B",D104&gt;=t/4,"A",TRUE,"S"))</f>
        <v/>
      </c>
    </row>
    <row r="105" spans="5:5">
      <c r="E105" s="5">
        <f>IF(OR(D105="",t=""),"",_xlfn.IFS(D105&gt;=t,"C",D105&gt;=t/2,"B",D105&gt;=t/4,"A",TRUE,"S"))</f>
        <v/>
      </c>
    </row>
    <row r="106" spans="5:5">
      <c r="E106" s="5">
        <f>IF(OR(D106="",t=""),"",_xlfn.IFS(D106&gt;=t,"C",D106&gt;=t/2,"B",D106&gt;=t/4,"A",TRUE,"S"))</f>
        <v/>
      </c>
    </row>
    <row r="107" spans="5:5">
      <c r="E107" s="5">
        <f>IF(OR(D107="",t=""),"",_xlfn.IFS(D107&gt;=t,"C",D107&gt;=t/2,"B",D107&gt;=t/4,"A",TRUE,"S"))</f>
        <v/>
      </c>
    </row>
    <row r="108" spans="5:5">
      <c r="E108" s="5">
        <f>IF(OR(D108="",t=""),"",_xlfn.IFS(D108&gt;=t,"C",D108&gt;=t/2,"B",D108&gt;=t/4,"A",TRUE,"S"))</f>
        <v/>
      </c>
    </row>
    <row r="109" spans="5:5">
      <c r="E109" s="5">
        <f>IF(OR(D109="",t=""),"",_xlfn.IFS(D109&gt;=t,"C",D109&gt;=t/2,"B",D109&gt;=t/4,"A",TRUE,"S"))</f>
        <v/>
      </c>
    </row>
    <row r="110" spans="5:5">
      <c r="E110" s="5">
        <f>IF(OR(D110="",t=""),"",_xlfn.IFS(D110&gt;=t,"C",D110&gt;=t/2,"B",D110&gt;=t/4,"A",TRUE,"S"))</f>
        <v/>
      </c>
    </row>
    <row r="111" spans="5:5">
      <c r="E111" s="5">
        <f>IF(OR(D111="",t=""),"",_xlfn.IFS(D111&gt;=t,"C",D111&gt;=t/2,"B",D111&gt;=t/4,"A",TRUE,"S"))</f>
        <v/>
      </c>
    </row>
    <row r="112" spans="5:5">
      <c r="E112" s="5">
        <f>IF(OR(D112="",t=""),"",_xlfn.IFS(D112&gt;=t,"C",D112&gt;=t/2,"B",D112&gt;=t/4,"A",TRUE,"S"))</f>
        <v/>
      </c>
    </row>
    <row r="113" spans="5:5">
      <c r="E113" s="5">
        <f>IF(OR(D113="",t=""),"",_xlfn.IFS(D113&gt;=t,"C",D113&gt;=t/2,"B",D113&gt;=t/4,"A",TRUE,"S"))</f>
        <v/>
      </c>
    </row>
    <row r="114" spans="5:5">
      <c r="E114" s="5">
        <f>IF(OR(D114="",t=""),"",_xlfn.IFS(D114&gt;=t,"C",D114&gt;=t/2,"B",D114&gt;=t/4,"A",TRUE,"S"))</f>
        <v/>
      </c>
    </row>
    <row r="115" spans="5:5">
      <c r="E115" s="5">
        <f>IF(OR(D115="",t=""),"",_xlfn.IFS(D115&gt;=t,"C",D115&gt;=t/2,"B",D115&gt;=t/4,"A",TRUE,"S"))</f>
        <v/>
      </c>
    </row>
    <row r="116" spans="5:5">
      <c r="E116" s="5">
        <f>IF(OR(D116="",t=""),"",_xlfn.IFS(D116&gt;=t,"C",D116&gt;=t/2,"B",D116&gt;=t/4,"A",TRUE,"S"))</f>
        <v/>
      </c>
    </row>
    <row r="117" spans="5:5">
      <c r="E117" s="5">
        <f>IF(OR(D117="",t=""),"",_xlfn.IFS(D117&gt;=t,"C",D117&gt;=t/2,"B",D117&gt;=t/4,"A",TRUE,"S"))</f>
        <v/>
      </c>
    </row>
    <row r="118" spans="5:5">
      <c r="E118" s="5">
        <f>IF(OR(D118="",t=""),"",_xlfn.IFS(D118&gt;=t,"C",D118&gt;=t/2,"B",D118&gt;=t/4,"A",TRUE,"S"))</f>
        <v/>
      </c>
    </row>
    <row r="119" spans="5:5">
      <c r="E119" s="5">
        <f>IF(OR(D119="",t=""),"",_xlfn.IFS(D119&gt;=t,"C",D119&gt;=t/2,"B",D119&gt;=t/4,"A",TRUE,"S"))</f>
        <v/>
      </c>
    </row>
    <row r="120" spans="5:5">
      <c r="E120" s="5">
        <f>IF(OR(D120="",t=""),"",_xlfn.IFS(D120&gt;=t,"C",D120&gt;=t/2,"B",D120&gt;=t/4,"A",TRUE,"S"))</f>
        <v/>
      </c>
    </row>
    <row r="121" spans="5:5">
      <c r="E121" s="5">
        <f>IF(OR(D121="",t=""),"",_xlfn.IFS(D121&gt;=t,"C",D121&gt;=t/2,"B",D121&gt;=t/4,"A",TRUE,"S"))</f>
        <v/>
      </c>
    </row>
    <row r="122" spans="5:5">
      <c r="E122" s="5">
        <f>IF(OR(D122="",t=""),"",_xlfn.IFS(D122&gt;=t,"C",D122&gt;=t/2,"B",D122&gt;=t/4,"A",TRUE,"S"))</f>
        <v/>
      </c>
    </row>
    <row r="123" spans="5:5">
      <c r="E123" s="5">
        <f>IF(OR(D123="",t=""),"",_xlfn.IFS(D123&gt;=t,"C",D123&gt;=t/2,"B",D123&gt;=t/4,"A",TRUE,"S"))</f>
        <v/>
      </c>
    </row>
    <row r="124" spans="5:5">
      <c r="E124" s="5">
        <f>IF(OR(D124="",t=""),"",_xlfn.IFS(D124&gt;=t,"C",D124&gt;=t/2,"B",D124&gt;=t/4,"A",TRUE,"S"))</f>
        <v/>
      </c>
    </row>
    <row r="125" spans="5:5">
      <c r="E125" s="5">
        <f>IF(OR(D125="",t=""),"",_xlfn.IFS(D125&gt;=t,"C",D125&gt;=t/2,"B",D125&gt;=t/4,"A",TRUE,"S"))</f>
        <v/>
      </c>
    </row>
    <row r="126" spans="5:5">
      <c r="E126" s="5">
        <f>IF(OR(D126="",t=""),"",_xlfn.IFS(D126&gt;=t,"C",D126&gt;=t/2,"B",D126&gt;=t/4,"A",TRUE,"S"))</f>
        <v/>
      </c>
    </row>
    <row r="127" spans="5:5">
      <c r="E127" s="5">
        <f>IF(OR(D127="",t=""),"",_xlfn.IFS(D127&gt;=t,"C",D127&gt;=t/2,"B",D127&gt;=t/4,"A",TRUE,"S"))</f>
        <v/>
      </c>
    </row>
    <row r="128" spans="5:5">
      <c r="E128" s="5">
        <f>IF(OR(D128="",t=""),"",_xlfn.IFS(D128&gt;=t,"C",D128&gt;=t/2,"B",D128&gt;=t/4,"A",TRUE,"S"))</f>
        <v/>
      </c>
    </row>
    <row r="129" spans="5:5">
      <c r="E129" s="5">
        <f>IF(OR(D129="",t=""),"",_xlfn.IFS(D129&gt;=t,"C",D129&gt;=t/2,"B",D129&gt;=t/4,"A",TRUE,"S"))</f>
        <v/>
      </c>
    </row>
    <row r="130" spans="5:5">
      <c r="E130" s="5">
        <f>IF(OR(D130="",t=""),"",_xlfn.IFS(D130&gt;=t,"C",D130&gt;=t/2,"B",D130&gt;=t/4,"A",TRUE,"S"))</f>
        <v/>
      </c>
    </row>
    <row r="131" spans="5:5">
      <c r="E131" s="5">
        <f>IF(OR(D131="",t=""),"",_xlfn.IFS(D131&gt;=t,"C",D131&gt;=t/2,"B",D131&gt;=t/4,"A",TRUE,"S"))</f>
        <v/>
      </c>
    </row>
    <row r="132" spans="5:5">
      <c r="E132" s="5">
        <f>IF(OR(D132="",t=""),"",_xlfn.IFS(D132&gt;=t,"C",D132&gt;=t/2,"B",D132&gt;=t/4,"A",TRUE,"S"))</f>
        <v/>
      </c>
    </row>
    <row r="133" spans="5:5">
      <c r="E133" s="5">
        <f>IF(OR(D133="",t=""),"",_xlfn.IFS(D133&gt;=t,"C",D133&gt;=t/2,"B",D133&gt;=t/4,"A",TRUE,"S"))</f>
        <v/>
      </c>
    </row>
    <row r="134" spans="5:5">
      <c r="E134" s="5">
        <f>IF(OR(D134="",t=""),"",_xlfn.IFS(D134&gt;=t,"C",D134&gt;=t/2,"B",D134&gt;=t/4,"A",TRUE,"S"))</f>
        <v/>
      </c>
    </row>
    <row r="135" spans="5:5">
      <c r="E135" s="5">
        <f>IF(OR(D135="",t=""),"",_xlfn.IFS(D135&gt;=t,"C",D135&gt;=t/2,"B",D135&gt;=t/4,"A",TRUE,"S"))</f>
        <v/>
      </c>
    </row>
    <row r="136" spans="5:5">
      <c r="E136" s="5">
        <f>IF(OR(D136="",t=""),"",_xlfn.IFS(D136&gt;=t,"C",D136&gt;=t/2,"B",D136&gt;=t/4,"A",TRUE,"S"))</f>
        <v/>
      </c>
    </row>
    <row r="137" spans="5:5">
      <c r="E137" s="5">
        <f>IF(OR(D137="",t=""),"",_xlfn.IFS(D137&gt;=t,"C",D137&gt;=t/2,"B",D137&gt;=t/4,"A",TRUE,"S"))</f>
        <v/>
      </c>
    </row>
    <row r="138" spans="5:5">
      <c r="E138" s="5">
        <f>IF(OR(D138="",t=""),"",_xlfn.IFS(D138&gt;=t,"C",D138&gt;=t/2,"B",D138&gt;=t/4,"A",TRUE,"S"))</f>
        <v/>
      </c>
    </row>
    <row r="139" spans="5:5">
      <c r="E139" s="5">
        <f>IF(OR(D139="",t=""),"",_xlfn.IFS(D139&gt;=t,"C",D139&gt;=t/2,"B",D139&gt;=t/4,"A",TRUE,"S"))</f>
        <v/>
      </c>
    </row>
    <row r="140" spans="5:5">
      <c r="E140" s="5">
        <f>IF(OR(D140="",t=""),"",_xlfn.IFS(D140&gt;=t,"C",D140&gt;=t/2,"B",D140&gt;=t/4,"A",TRUE,"S"))</f>
        <v/>
      </c>
    </row>
    <row r="141" spans="5:5">
      <c r="E141" s="5">
        <f>IF(OR(D141="",t=""),"",_xlfn.IFS(D141&gt;=t,"C",D141&gt;=t/2,"B",D141&gt;=t/4,"A",TRUE,"S"))</f>
        <v/>
      </c>
    </row>
    <row r="142" spans="5:5">
      <c r="E142" s="5">
        <f>IF(OR(D142="",t=""),"",_xlfn.IFS(D142&gt;=t,"C",D142&gt;=t/2,"B",D142&gt;=t/4,"A",TRUE,"S"))</f>
        <v/>
      </c>
    </row>
    <row r="143" spans="5:5">
      <c r="E143" s="5">
        <f>IF(OR(D143="",t=""),"",_xlfn.IFS(D143&gt;=t,"C",D143&gt;=t/2,"B",D143&gt;=t/4,"A",TRUE,"S"))</f>
        <v/>
      </c>
    </row>
    <row r="144" spans="5:5">
      <c r="E144" s="5">
        <f>IF(OR(D144="",t=""),"",_xlfn.IFS(D144&gt;=t,"C",D144&gt;=t/2,"B",D144&gt;=t/4,"A",TRUE,"S"))</f>
        <v/>
      </c>
    </row>
    <row r="145" spans="5:5">
      <c r="E145" s="5">
        <f>IF(OR(D145="",t=""),"",_xlfn.IFS(D145&gt;=t,"C",D145&gt;=t/2,"B",D145&gt;=t/4,"A",TRUE,"S"))</f>
        <v/>
      </c>
    </row>
    <row r="146" spans="5:5">
      <c r="E146" s="5">
        <f>IF(OR(D146="",t=""),"",_xlfn.IFS(D146&gt;=t,"C",D146&gt;=t/2,"B",D146&gt;=t/4,"A",TRUE,"S"))</f>
        <v/>
      </c>
    </row>
    <row r="147" spans="5:5">
      <c r="E147" s="5">
        <f>IF(OR(D147="",t=""),"",_xlfn.IFS(D147&gt;=t,"C",D147&gt;=t/2,"B",D147&gt;=t/4,"A",TRUE,"S"))</f>
        <v/>
      </c>
    </row>
    <row r="148" spans="5:5">
      <c r="E148" s="5">
        <f>IF(OR(D148="",t=""),"",_xlfn.IFS(D148&gt;=t,"C",D148&gt;=t/2,"B",D148&gt;=t/4,"A",TRUE,"S"))</f>
        <v/>
      </c>
    </row>
    <row r="149" spans="5:5">
      <c r="E149" s="5">
        <f>IF(OR(D149="",t=""),"",_xlfn.IFS(D149&gt;=t,"C",D149&gt;=t/2,"B",D149&gt;=t/4,"A",TRUE,"S"))</f>
        <v/>
      </c>
    </row>
    <row r="150" spans="5:5">
      <c r="E150" s="5">
        <f>IF(OR(D150="",t=""),"",_xlfn.IFS(D150&gt;=t,"C",D150&gt;=t/2,"B",D150&gt;=t/4,"A",TRUE,"S"))</f>
        <v/>
      </c>
    </row>
    <row r="151" spans="5:5">
      <c r="E151" s="5">
        <f>IF(OR(D151="",t=""),"",_xlfn.IFS(D151&gt;=t,"C",D151&gt;=t/2,"B",D151&gt;=t/4,"A",TRUE,"S"))</f>
        <v/>
      </c>
    </row>
    <row r="152" spans="5:5">
      <c r="E152" s="5">
        <f>IF(OR(D152="",t=""),"",_xlfn.IFS(D152&gt;=t,"C",D152&gt;=t/2,"B",D152&gt;=t/4,"A",TRUE,"S"))</f>
        <v/>
      </c>
    </row>
    <row r="153" spans="5:5">
      <c r="E153" s="5">
        <f>IF(OR(D153="",t=""),"",_xlfn.IFS(D153&gt;=t,"C",D153&gt;=t/2,"B",D153&gt;=t/4,"A",TRUE,"S"))</f>
        <v/>
      </c>
    </row>
    <row r="154" spans="5:5">
      <c r="E154" s="5">
        <f>IF(OR(D154="",t=""),"",_xlfn.IFS(D154&gt;=t,"C",D154&gt;=t/2,"B",D154&gt;=t/4,"A",TRUE,"S"))</f>
        <v/>
      </c>
    </row>
    <row r="155" spans="5:5">
      <c r="E155" s="5">
        <f>IF(OR(D155="",t=""),"",_xlfn.IFS(D155&gt;=t,"C",D155&gt;=t/2,"B",D155&gt;=t/4,"A",TRUE,"S"))</f>
        <v/>
      </c>
    </row>
    <row r="156" spans="5:5">
      <c r="E156" s="5">
        <f>IF(OR(D156="",t=""),"",_xlfn.IFS(D156&gt;=t,"C",D156&gt;=t/2,"B",D156&gt;=t/4,"A",TRUE,"S"))</f>
        <v/>
      </c>
    </row>
    <row r="157" spans="5:5">
      <c r="E157" s="5">
        <f>IF(OR(D157="",t=""),"",_xlfn.IFS(D157&gt;=t,"C",D157&gt;=t/2,"B",D157&gt;=t/4,"A",TRUE,"S"))</f>
        <v/>
      </c>
    </row>
    <row r="158" spans="5:5">
      <c r="E158" s="5">
        <f>IF(OR(D158="",t=""),"",_xlfn.IFS(D158&gt;=t,"C",D158&gt;=t/2,"B",D158&gt;=t/4,"A",TRUE,"S"))</f>
        <v/>
      </c>
    </row>
    <row r="159" spans="5:5">
      <c r="E159" s="5">
        <f>IF(OR(D159="",t=""),"",_xlfn.IFS(D159&gt;=t,"C",D159&gt;=t/2,"B",D159&gt;=t/4,"A",TRUE,"S"))</f>
        <v/>
      </c>
    </row>
    <row r="160" spans="5:5">
      <c r="E160" s="5">
        <f>IF(OR(D160="",t=""),"",_xlfn.IFS(D160&gt;=t,"C",D160&gt;=t/2,"B",D160&gt;=t/4,"A",TRUE,"S"))</f>
        <v/>
      </c>
    </row>
    <row r="161" spans="5:5">
      <c r="E161" s="5">
        <f>IF(OR(D161="",t=""),"",_xlfn.IFS(D161&gt;=t,"C",D161&gt;=t/2,"B",D161&gt;=t/4,"A",TRUE,"S"))</f>
        <v/>
      </c>
    </row>
    <row r="162" spans="5:5">
      <c r="E162" s="5">
        <f>IF(OR(D162="",t=""),"",_xlfn.IFS(D162&gt;=t,"C",D162&gt;=t/2,"B",D162&gt;=t/4,"A",TRUE,"S"))</f>
        <v/>
      </c>
    </row>
    <row r="163" spans="5:5">
      <c r="E163" s="5">
        <f>IF(OR(D163="",t=""),"",_xlfn.IFS(D163&gt;=t,"C",D163&gt;=t/2,"B",D163&gt;=t/4,"A",TRUE,"S"))</f>
        <v/>
      </c>
    </row>
    <row r="164" spans="5:5">
      <c r="E164" s="5">
        <f>IF(OR(D164="",t=""),"",_xlfn.IFS(D164&gt;=t,"C",D164&gt;=t/2,"B",D164&gt;=t/4,"A",TRUE,"S"))</f>
        <v/>
      </c>
    </row>
    <row r="165" spans="5:5">
      <c r="E165" s="5">
        <f>IF(OR(D165="",t=""),"",_xlfn.IFS(D165&gt;=t,"C",D165&gt;=t/2,"B",D165&gt;=t/4,"A",TRUE,"S"))</f>
        <v/>
      </c>
    </row>
    <row r="166" spans="5:5">
      <c r="E166" s="5">
        <f>IF(OR(D166="",t=""),"",_xlfn.IFS(D166&gt;=t,"C",D166&gt;=t/2,"B",D166&gt;=t/4,"A",TRUE,"S"))</f>
        <v/>
      </c>
    </row>
    <row r="167" spans="5:5">
      <c r="E167" s="5">
        <f>IF(OR(D167="",t=""),"",_xlfn.IFS(D167&gt;=t,"C",D167&gt;=t/2,"B",D167&gt;=t/4,"A",TRUE,"S"))</f>
        <v/>
      </c>
    </row>
    <row r="168" spans="5:5">
      <c r="E168" s="5">
        <f>IF(OR(D168="",t=""),"",_xlfn.IFS(D168&gt;=t,"C",D168&gt;=t/2,"B",D168&gt;=t/4,"A",TRUE,"S"))</f>
        <v/>
      </c>
    </row>
    <row r="169" spans="5:5">
      <c r="E169" s="5">
        <f>IF(OR(D169="",t=""),"",_xlfn.IFS(D169&gt;=t,"C",D169&gt;=t/2,"B",D169&gt;=t/4,"A",TRUE,"S"))</f>
        <v/>
      </c>
    </row>
    <row r="170" spans="5:5">
      <c r="E170" s="5">
        <f>IF(OR(D170="",t=""),"",_xlfn.IFS(D170&gt;=t,"C",D170&gt;=t/2,"B",D170&gt;=t/4,"A",TRUE,"S"))</f>
        <v/>
      </c>
    </row>
    <row r="171" spans="5:5">
      <c r="E171" s="5">
        <f>IF(OR(D171="",t=""),"",_xlfn.IFS(D171&gt;=t,"C",D171&gt;=t/2,"B",D171&gt;=t/4,"A",TRUE,"S"))</f>
        <v/>
      </c>
    </row>
    <row r="172" spans="5:5">
      <c r="E172" s="5">
        <f>IF(OR(D172="",t=""),"",_xlfn.IFS(D172&gt;=t,"C",D172&gt;=t/2,"B",D172&gt;=t/4,"A",TRUE,"S"))</f>
        <v/>
      </c>
    </row>
    <row r="173" spans="5:5">
      <c r="E173" s="5">
        <f>IF(OR(D173="",t=""),"",_xlfn.IFS(D173&gt;=t,"C",D173&gt;=t/2,"B",D173&gt;=t/4,"A",TRUE,"S"))</f>
        <v/>
      </c>
    </row>
    <row r="174" spans="5:5">
      <c r="E174" s="5">
        <f>IF(OR(D174="",t=""),"",_xlfn.IFS(D174&gt;=t,"C",D174&gt;=t/2,"B",D174&gt;=t/4,"A",TRUE,"S"))</f>
        <v/>
      </c>
    </row>
    <row r="175" spans="5:5">
      <c r="E175" s="5">
        <f>IF(OR(D175="",t=""),"",_xlfn.IFS(D175&gt;=t,"C",D175&gt;=t/2,"B",D175&gt;=t/4,"A",TRUE,"S"))</f>
        <v/>
      </c>
    </row>
    <row r="176" spans="5:5">
      <c r="E176" s="5">
        <f>IF(OR(D176="",t=""),"",_xlfn.IFS(D176&gt;=t,"C",D176&gt;=t/2,"B",D176&gt;=t/4,"A",TRUE,"S"))</f>
        <v/>
      </c>
    </row>
    <row r="177" spans="5:5">
      <c r="E177" s="5">
        <f>IF(OR(D177="",t=""),"",_xlfn.IFS(D177&gt;=t,"C",D177&gt;=t/2,"B",D177&gt;=t/4,"A",TRUE,"S"))</f>
        <v/>
      </c>
    </row>
    <row r="178" spans="5:5">
      <c r="E178" s="5">
        <f>IF(OR(D178="",t=""),"",_xlfn.IFS(D178&gt;=t,"C",D178&gt;=t/2,"B",D178&gt;=t/4,"A",TRUE,"S"))</f>
        <v/>
      </c>
    </row>
    <row r="179" spans="5:5">
      <c r="E179" s="5">
        <f>IF(OR(D179="",t=""),"",_xlfn.IFS(D179&gt;=t,"C",D179&gt;=t/2,"B",D179&gt;=t/4,"A",TRUE,"S"))</f>
        <v/>
      </c>
    </row>
    <row r="180" spans="5:5">
      <c r="E180" s="5">
        <f>IF(OR(D180="",t=""),"",_xlfn.IFS(D180&gt;=t,"C",D180&gt;=t/2,"B",D180&gt;=t/4,"A",TRUE,"S"))</f>
        <v/>
      </c>
    </row>
    <row r="181" spans="5:5">
      <c r="E181" s="5">
        <f>IF(OR(D181="",t=""),"",_xlfn.IFS(D181&gt;=t,"C",D181&gt;=t/2,"B",D181&gt;=t/4,"A",TRUE,"S"))</f>
        <v/>
      </c>
    </row>
    <row r="182" spans="5:5">
      <c r="E182" s="5">
        <f>IF(OR(D182="",t=""),"",_xlfn.IFS(D182&gt;=t,"C",D182&gt;=t/2,"B",D182&gt;=t/4,"A",TRUE,"S"))</f>
        <v/>
      </c>
    </row>
    <row r="183" spans="5:5">
      <c r="E183" s="5">
        <f>IF(OR(D183="",t=""),"",_xlfn.IFS(D183&gt;=t,"C",D183&gt;=t/2,"B",D183&gt;=t/4,"A",TRUE,"S"))</f>
        <v/>
      </c>
    </row>
    <row r="184" spans="5:5">
      <c r="E184" s="5">
        <f>IF(OR(D184="",t=""),"",_xlfn.IFS(D184&gt;=t,"C",D184&gt;=t/2,"B",D184&gt;=t/4,"A",TRUE,"S"))</f>
        <v/>
      </c>
    </row>
    <row r="185" spans="5:5">
      <c r="E185" s="5">
        <f>IF(OR(D185="",t=""),"",_xlfn.IFS(D185&gt;=t,"C",D185&gt;=t/2,"B",D185&gt;=t/4,"A",TRUE,"S"))</f>
        <v/>
      </c>
    </row>
    <row r="186" spans="5:5">
      <c r="E186" s="5">
        <f>IF(OR(D186="",t=""),"",_xlfn.IFS(D186&gt;=t,"C",D186&gt;=t/2,"B",D186&gt;=t/4,"A",TRUE,"S"))</f>
        <v/>
      </c>
    </row>
    <row r="187" spans="5:5">
      <c r="E187" s="5">
        <f>IF(OR(D187="",t=""),"",_xlfn.IFS(D187&gt;=t,"C",D187&gt;=t/2,"B",D187&gt;=t/4,"A",TRUE,"S"))</f>
        <v/>
      </c>
    </row>
    <row r="188" spans="5:5">
      <c r="E188" s="5">
        <f>IF(OR(D188="",t=""),"",_xlfn.IFS(D188&gt;=t,"C",D188&gt;=t/2,"B",D188&gt;=t/4,"A",TRUE,"S"))</f>
        <v/>
      </c>
    </row>
    <row r="189" spans="5:5">
      <c r="E189" s="5">
        <f>IF(OR(D189="",t=""),"",_xlfn.IFS(D189&gt;=t,"C",D189&gt;=t/2,"B",D189&gt;=t/4,"A",TRUE,"S"))</f>
        <v/>
      </c>
    </row>
    <row r="190" spans="5:5">
      <c r="E190" s="5">
        <f>IF(OR(D190="",t=""),"",_xlfn.IFS(D190&gt;=t,"C",D190&gt;=t/2,"B",D190&gt;=t/4,"A",TRUE,"S"))</f>
        <v/>
      </c>
    </row>
    <row r="191" spans="5:5">
      <c r="E191" s="5">
        <f>IF(OR(D191="",t=""),"",_xlfn.IFS(D191&gt;=t,"C",D191&gt;=t/2,"B",D191&gt;=t/4,"A",TRUE,"S"))</f>
        <v/>
      </c>
    </row>
    <row r="192" spans="5:5">
      <c r="E192" s="5">
        <f>IF(OR(D192="",t=""),"",_xlfn.IFS(D192&gt;=t,"C",D192&gt;=t/2,"B",D192&gt;=t/4,"A",TRUE,"S"))</f>
        <v/>
      </c>
    </row>
    <row r="193" spans="5:5">
      <c r="E193" s="5">
        <f>IF(OR(D193="",t=""),"",_xlfn.IFS(D193&gt;=t,"C",D193&gt;=t/2,"B",D193&gt;=t/4,"A",TRUE,"S"))</f>
        <v/>
      </c>
    </row>
    <row r="194" spans="5:5">
      <c r="E194" s="5">
        <f>IF(OR(D194="",t=""),"",_xlfn.IFS(D194&gt;=t,"C",D194&gt;=t/2,"B",D194&gt;=t/4,"A",TRUE,"S"))</f>
        <v/>
      </c>
    </row>
    <row r="195" spans="5:5">
      <c r="E195" s="5">
        <f>IF(OR(D195="",t=""),"",_xlfn.IFS(D195&gt;=t,"C",D195&gt;=t/2,"B",D195&gt;=t/4,"A",TRUE,"S"))</f>
        <v/>
      </c>
    </row>
    <row r="196" spans="5:5">
      <c r="E196" s="5">
        <f>IF(OR(D196="",t=""),"",_xlfn.IFS(D196&gt;=t,"C",D196&gt;=t/2,"B",D196&gt;=t/4,"A",TRUE,"S"))</f>
        <v/>
      </c>
    </row>
    <row r="197" spans="5:5">
      <c r="E197" s="5">
        <f>IF(OR(D197="",t=""),"",_xlfn.IFS(D197&gt;=t,"C",D197&gt;=t/2,"B",D197&gt;=t/4,"A",TRUE,"S"))</f>
        <v/>
      </c>
    </row>
    <row r="198" spans="5:5">
      <c r="E198" s="5">
        <f>IF(OR(D198="",t=""),"",_xlfn.IFS(D198&gt;=t,"C",D198&gt;=t/2,"B",D198&gt;=t/4,"A",TRUE,"S"))</f>
        <v/>
      </c>
    </row>
    <row r="199" spans="5:5">
      <c r="E199" s="5">
        <f>IF(OR(D199="",t=""),"",_xlfn.IFS(D199&gt;=t,"C",D199&gt;=t/2,"B",D199&gt;=t/4,"A",TRUE,"S"))</f>
        <v/>
      </c>
    </row>
    <row r="200" spans="5:5">
      <c r="E200" s="5">
        <f>IF(OR(D200="",t=""),"",_xlfn.IFS(D200&gt;=t,"C",D200&gt;=t/2,"B",D200&gt;=t/4,"A",TRUE,"S"))</f>
        <v/>
      </c>
    </row>
    <row r="201" spans="5:5">
      <c r="E201" s="5">
        <f>IF(OR(D201="",t=""),"",_xlfn.IFS(D201&gt;=t,"C",D201&gt;=t/2,"B",D201&gt;=t/4,"A",TRUE,"S"))</f>
        <v/>
      </c>
    </row>
    <row r="202" spans="5:5">
      <c r="E202" s="5">
        <f>IF(OR(D202="",t=""),"",_xlfn.IFS(D202&gt;=t,"C",D202&gt;=t/2,"B",D202&gt;=t/4,"A",TRUE,"S"))</f>
        <v/>
      </c>
    </row>
    <row r="203" spans="5:5">
      <c r="E203" s="5">
        <f>IF(OR(D203="",t=""),"",_xlfn.IFS(D203&gt;=t,"C",D203&gt;=t/2,"B",D203&gt;=t/4,"A",TRUE,"S"))</f>
        <v/>
      </c>
    </row>
    <row r="204" spans="5:5">
      <c r="E204" s="5">
        <f>IF(OR(D204="",t=""),"",_xlfn.IFS(D204&gt;=t,"C",D204&gt;=t/2,"B",D204&gt;=t/4,"A",TRUE,"S"))</f>
        <v/>
      </c>
    </row>
    <row r="205" spans="5:5">
      <c r="E205" s="5">
        <f>IF(OR(D205="",t=""),"",_xlfn.IFS(D205&gt;=t,"C",D205&gt;=t/2,"B",D205&gt;=t/4,"A",TRUE,"S"))</f>
        <v/>
      </c>
    </row>
    <row r="206" spans="5:5">
      <c r="E206" s="5">
        <f>IF(OR(D206="",t=""),"",_xlfn.IFS(D206&gt;=t,"C",D206&gt;=t/2,"B",D206&gt;=t/4,"A",TRUE,"S"))</f>
        <v/>
      </c>
    </row>
    <row r="207" spans="5:5">
      <c r="E207" s="5">
        <f>IF(OR(D207="",t=""),"",_xlfn.IFS(D207&gt;=t,"C",D207&gt;=t/2,"B",D207&gt;=t/4,"A",TRUE,"S"))</f>
        <v/>
      </c>
    </row>
    <row r="208" spans="5:5">
      <c r="E208" s="5">
        <f>IF(OR(D208="",t=""),"",_xlfn.IFS(D208&gt;=t,"C",D208&gt;=t/2,"B",D208&gt;=t/4,"A",TRUE,"S"))</f>
        <v/>
      </c>
    </row>
    <row r="209" spans="5:5">
      <c r="E209" s="5">
        <f>IF(OR(D209="",t=""),"",_xlfn.IFS(D209&gt;=t,"C",D209&gt;=t/2,"B",D209&gt;=t/4,"A",TRUE,"S"))</f>
        <v/>
      </c>
    </row>
    <row r="210" spans="5:5">
      <c r="E210" s="5">
        <f>IF(OR(D210="",t=""),"",_xlfn.IFS(D210&gt;=t,"C",D210&gt;=t/2,"B",D210&gt;=t/4,"A",TRUE,"S"))</f>
        <v/>
      </c>
    </row>
    <row r="211" spans="5:5">
      <c r="E211" s="5">
        <f>IF(OR(D211="",t=""),"",_xlfn.IFS(D211&gt;=t,"C",D211&gt;=t/2,"B",D211&gt;=t/4,"A",TRUE,"S"))</f>
        <v/>
      </c>
    </row>
    <row r="212" spans="5:5">
      <c r="E212" s="5">
        <f>IF(OR(D212="",t=""),"",_xlfn.IFS(D212&gt;=t,"C",D212&gt;=t/2,"B",D212&gt;=t/4,"A",TRUE,"S"))</f>
        <v/>
      </c>
    </row>
    <row r="213" spans="5:5">
      <c r="E213" s="5">
        <f>IF(OR(D213="",t=""),"",_xlfn.IFS(D213&gt;=t,"C",D213&gt;=t/2,"B",D213&gt;=t/4,"A",TRUE,"S"))</f>
        <v/>
      </c>
    </row>
    <row r="214" spans="5:5">
      <c r="E214" s="5">
        <f>IF(OR(D214="",t=""),"",_xlfn.IFS(D214&gt;=t,"C",D214&gt;=t/2,"B",D214&gt;=t/4,"A",TRUE,"S"))</f>
        <v/>
      </c>
    </row>
    <row r="215" spans="5:5">
      <c r="E215" s="5">
        <f>IF(OR(D215="",t=""),"",_xlfn.IFS(D215&gt;=t,"C",D215&gt;=t/2,"B",D215&gt;=t/4,"A",TRUE,"S"))</f>
        <v/>
      </c>
    </row>
    <row r="216" spans="5:5">
      <c r="E216" s="5">
        <f>IF(OR(D216="",t=""),"",_xlfn.IFS(D216&gt;=t,"C",D216&gt;=t/2,"B",D216&gt;=t/4,"A",TRUE,"S"))</f>
        <v/>
      </c>
    </row>
    <row r="217" spans="5:5">
      <c r="E217" s="5">
        <f>IF(OR(D217="",t=""),"",_xlfn.IFS(D217&gt;=t,"C",D217&gt;=t/2,"B",D217&gt;=t/4,"A",TRUE,"S"))</f>
        <v/>
      </c>
    </row>
    <row r="218" spans="5:5">
      <c r="E218" s="5">
        <f>IF(OR(D218="",t=""),"",_xlfn.IFS(D218&gt;=t,"C",D218&gt;=t/2,"B",D218&gt;=t/4,"A",TRUE,"S"))</f>
        <v/>
      </c>
    </row>
    <row r="219" spans="5:5">
      <c r="E219" s="5">
        <f>IF(OR(D219="",t=""),"",_xlfn.IFS(D219&gt;=t,"C",D219&gt;=t/2,"B",D219&gt;=t/4,"A",TRUE,"S"))</f>
        <v/>
      </c>
    </row>
    <row r="220" spans="5:5">
      <c r="E220" s="5">
        <f>IF(OR(D220="",t=""),"",_xlfn.IFS(D220&gt;=t,"C",D220&gt;=t/2,"B",D220&gt;=t/4,"A",TRUE,"S"))</f>
        <v/>
      </c>
    </row>
    <row r="221" spans="5:5">
      <c r="E221" s="5">
        <f>IF(OR(D221="",t=""),"",_xlfn.IFS(D221&gt;=t,"C",D221&gt;=t/2,"B",D221&gt;=t/4,"A",TRUE,"S"))</f>
        <v/>
      </c>
    </row>
    <row r="222" spans="5:5">
      <c r="E222" s="5">
        <f>IF(OR(D222="",t=""),"",_xlfn.IFS(D222&gt;=t,"C",D222&gt;=t/2,"B",D222&gt;=t/4,"A",TRUE,"S"))</f>
        <v/>
      </c>
    </row>
    <row r="223" spans="5:5">
      <c r="E223" s="5">
        <f>IF(OR(D223="",t=""),"",_xlfn.IFS(D223&gt;=t,"C",D223&gt;=t/2,"B",D223&gt;=t/4,"A",TRUE,"S"))</f>
        <v/>
      </c>
    </row>
    <row r="224" spans="5:5">
      <c r="E224" s="5">
        <f>IF(OR(D224="",t=""),"",_xlfn.IFS(D224&gt;=t,"C",D224&gt;=t/2,"B",D224&gt;=t/4,"A",TRUE,"S"))</f>
        <v/>
      </c>
    </row>
    <row r="225" spans="5:5">
      <c r="E225" s="5">
        <f>IF(OR(D225="",t=""),"",_xlfn.IFS(D225&gt;=t,"C",D225&gt;=t/2,"B",D225&gt;=t/4,"A",TRUE,"S"))</f>
        <v/>
      </c>
    </row>
    <row r="226" spans="5:5">
      <c r="E226" s="5">
        <f>IF(OR(D226="",t=""),"",_xlfn.IFS(D226&gt;=t,"C",D226&gt;=t/2,"B",D226&gt;=t/4,"A",TRUE,"S"))</f>
        <v/>
      </c>
    </row>
    <row r="227" spans="5:5">
      <c r="E227" s="5">
        <f>IF(OR(D227="",t=""),"",_xlfn.IFS(D227&gt;=t,"C",D227&gt;=t/2,"B",D227&gt;=t/4,"A",TRUE,"S"))</f>
        <v/>
      </c>
    </row>
    <row r="228" spans="5:5">
      <c r="E228" s="5">
        <f>IF(OR(D228="",t=""),"",_xlfn.IFS(D228&gt;=t,"C",D228&gt;=t/2,"B",D228&gt;=t/4,"A",TRUE,"S"))</f>
        <v/>
      </c>
    </row>
    <row r="229" spans="5:5">
      <c r="E229" s="5">
        <f>IF(OR(D229="",t=""),"",_xlfn.IFS(D229&gt;=t,"C",D229&gt;=t/2,"B",D229&gt;=t/4,"A",TRUE,"S"))</f>
        <v/>
      </c>
    </row>
    <row r="230" spans="5:5">
      <c r="E230" s="5">
        <f>IF(OR(D230="",t=""),"",_xlfn.IFS(D230&gt;=t,"C",D230&gt;=t/2,"B",D230&gt;=t/4,"A",TRUE,"S"))</f>
        <v/>
      </c>
    </row>
    <row r="231" spans="5:5">
      <c r="E231" s="5">
        <f>IF(OR(D231="",t=""),"",_xlfn.IFS(D231&gt;=t,"C",D231&gt;=t/2,"B",D231&gt;=t/4,"A",TRUE,"S"))</f>
        <v/>
      </c>
    </row>
    <row r="232" spans="5:5">
      <c r="E232" s="5">
        <f>IF(OR(D232="",t=""),"",_xlfn.IFS(D232&gt;=t,"C",D232&gt;=t/2,"B",D232&gt;=t/4,"A",TRUE,"S"))</f>
        <v/>
      </c>
    </row>
    <row r="233" spans="5:5">
      <c r="E233" s="5">
        <f>IF(OR(D233="",t=""),"",_xlfn.IFS(D233&gt;=t,"C",D233&gt;=t/2,"B",D233&gt;=t/4,"A",TRUE,"S"))</f>
        <v/>
      </c>
    </row>
    <row r="234" spans="5:5">
      <c r="E234" s="5">
        <f>IF(OR(D234="",t=""),"",_xlfn.IFS(D234&gt;=t,"C",D234&gt;=t/2,"B",D234&gt;=t/4,"A",TRUE,"S"))</f>
        <v/>
      </c>
    </row>
    <row r="235" spans="5:5">
      <c r="E235" s="5">
        <f>IF(OR(D235="",t=""),"",_xlfn.IFS(D235&gt;=t,"C",D235&gt;=t/2,"B",D235&gt;=t/4,"A",TRUE,"S"))</f>
        <v/>
      </c>
    </row>
    <row r="236" spans="5:5">
      <c r="E236" s="5">
        <f>IF(OR(D236="",t=""),"",_xlfn.IFS(D236&gt;=t,"C",D236&gt;=t/2,"B",D236&gt;=t/4,"A",TRUE,"S"))</f>
        <v/>
      </c>
    </row>
    <row r="237" spans="5:5">
      <c r="E237" s="5">
        <f>IF(OR(D237="",t=""),"",_xlfn.IFS(D237&gt;=t,"C",D237&gt;=t/2,"B",D237&gt;=t/4,"A",TRUE,"S"))</f>
        <v/>
      </c>
    </row>
    <row r="238" spans="5:5">
      <c r="E238" s="5">
        <f>IF(OR(D238="",t=""),"",_xlfn.IFS(D238&gt;=t,"C",D238&gt;=t/2,"B",D238&gt;=t/4,"A",TRUE,"S"))</f>
        <v/>
      </c>
    </row>
    <row r="239" spans="5:5">
      <c r="E239" s="5">
        <f>IF(OR(D239="",t=""),"",_xlfn.IFS(D239&gt;=t,"C",D239&gt;=t/2,"B",D239&gt;=t/4,"A",TRUE,"S"))</f>
        <v/>
      </c>
    </row>
    <row r="240" spans="5:5">
      <c r="E240" s="5">
        <f>IF(OR(D240="",t=""),"",_xlfn.IFS(D240&gt;=t,"C",D240&gt;=t/2,"B",D240&gt;=t/4,"A",TRUE,"S"))</f>
        <v/>
      </c>
    </row>
    <row r="241" spans="5:5">
      <c r="E241" s="5">
        <f>IF(OR(D241="",t=""),"",_xlfn.IFS(D241&gt;=t,"C",D241&gt;=t/2,"B",D241&gt;=t/4,"A",TRUE,"S"))</f>
        <v/>
      </c>
    </row>
    <row r="242" spans="5:5">
      <c r="E242" s="5">
        <f>IF(OR(D242="",t=""),"",_xlfn.IFS(D242&gt;=t,"C",D242&gt;=t/2,"B",D242&gt;=t/4,"A",TRUE,"S"))</f>
        <v/>
      </c>
    </row>
    <row r="243" spans="5:5">
      <c r="E243" s="5">
        <f>IF(OR(D243="",t=""),"",_xlfn.IFS(D243&gt;=t,"C",D243&gt;=t/2,"B",D243&gt;=t/4,"A",TRUE,"S"))</f>
        <v/>
      </c>
    </row>
    <row r="244" spans="5:5">
      <c r="E244" s="5">
        <f>IF(OR(D244="",t=""),"",_xlfn.IFS(D244&gt;=t,"C",D244&gt;=t/2,"B",D244&gt;=t/4,"A",TRUE,"S"))</f>
        <v/>
      </c>
    </row>
    <row r="245" spans="5:5">
      <c r="E245" s="5">
        <f>IF(OR(D245="",t=""),"",_xlfn.IFS(D245&gt;=t,"C",D245&gt;=t/2,"B",D245&gt;=t/4,"A",TRUE,"S"))</f>
        <v/>
      </c>
    </row>
    <row r="246" spans="5:5">
      <c r="E246" s="5">
        <f>IF(OR(D246="",t=""),"",_xlfn.IFS(D246&gt;=t,"C",D246&gt;=t/2,"B",D246&gt;=t/4,"A",TRUE,"S"))</f>
        <v/>
      </c>
    </row>
    <row r="247" spans="5:5">
      <c r="E247" s="5">
        <f>IF(OR(D247="",t=""),"",_xlfn.IFS(D247&gt;=t,"C",D247&gt;=t/2,"B",D247&gt;=t/4,"A",TRUE,"S"))</f>
        <v/>
      </c>
    </row>
    <row r="248" spans="5:5">
      <c r="E248" s="5">
        <f>IF(OR(D248="",t=""),"",_xlfn.IFS(D248&gt;=t,"C",D248&gt;=t/2,"B",D248&gt;=t/4,"A",TRUE,"S"))</f>
        <v/>
      </c>
    </row>
    <row r="249" spans="5:5">
      <c r="E249" s="5">
        <f>IF(OR(D249="",t=""),"",_xlfn.IFS(D249&gt;=t,"C",D249&gt;=t/2,"B",D249&gt;=t/4,"A",TRUE,"S"))</f>
        <v/>
      </c>
    </row>
    <row r="250" spans="5:5">
      <c r="E250" s="5">
        <f>IF(OR(D250="",t=""),"",_xlfn.IFS(D250&gt;=t,"C",D250&gt;=t/2,"B",D250&gt;=t/4,"A",TRUE,"S"))</f>
        <v/>
      </c>
    </row>
    <row r="251" spans="5:5">
      <c r="E251" s="5">
        <f>IF(OR(D251="",t=""),"",_xlfn.IFS(D251&gt;=t,"C",D251&gt;=t/2,"B",D251&gt;=t/4,"A",TRUE,"S"))</f>
        <v/>
      </c>
    </row>
    <row r="252" spans="5:5">
      <c r="E252" s="5">
        <f>IF(OR(D252="",t=""),"",_xlfn.IFS(D252&gt;=t,"C",D252&gt;=t/2,"B",D252&gt;=t/4,"A",TRUE,"S"))</f>
        <v/>
      </c>
    </row>
    <row r="253" spans="5:5">
      <c r="E253" s="5">
        <f>IF(OR(D253="",t=""),"",_xlfn.IFS(D253&gt;=t,"C",D253&gt;=t/2,"B",D253&gt;=t/4,"A",TRUE,"S"))</f>
        <v/>
      </c>
    </row>
    <row r="254" spans="5:5">
      <c r="E254" s="5">
        <f>IF(OR(D254="",t=""),"",_xlfn.IFS(D254&gt;=t,"C",D254&gt;=t/2,"B",D254&gt;=t/4,"A",TRUE,"S"))</f>
        <v/>
      </c>
    </row>
    <row r="255" spans="5:5">
      <c r="E255" s="5">
        <f>IF(OR(D255="",t=""),"",_xlfn.IFS(D255&gt;=t,"C",D255&gt;=t/2,"B",D255&gt;=t/4,"A",TRUE,"S"))</f>
        <v/>
      </c>
    </row>
    <row r="256" spans="5:5">
      <c r="E256" s="5">
        <f>IF(OR(D256="",t=""),"",_xlfn.IFS(D256&gt;=t,"C",D256&gt;=t/2,"B",D256&gt;=t/4,"A",TRUE,"S"))</f>
        <v/>
      </c>
    </row>
    <row r="257" spans="5:5">
      <c r="E257" s="5">
        <f>IF(OR(D257="",t=""),"",_xlfn.IFS(D257&gt;=t,"C",D257&gt;=t/2,"B",D257&gt;=t/4,"A",TRUE,"S"))</f>
        <v/>
      </c>
    </row>
    <row r="258" spans="5:5">
      <c r="E258" s="5">
        <f>IF(OR(D258="",t=""),"",_xlfn.IFS(D258&gt;=t,"C",D258&gt;=t/2,"B",D258&gt;=t/4,"A",TRUE,"S"))</f>
        <v/>
      </c>
    </row>
    <row r="259" spans="5:5">
      <c r="E259" s="5">
        <f>IF(OR(D259="",t=""),"",_xlfn.IFS(D259&gt;=t,"C",D259&gt;=t/2,"B",D259&gt;=t/4,"A",TRUE,"S"))</f>
        <v/>
      </c>
    </row>
    <row r="260" spans="5:5">
      <c r="E260" s="5">
        <f>IF(OR(D260="",t=""),"",_xlfn.IFS(D260&gt;=t,"C",D260&gt;=t/2,"B",D260&gt;=t/4,"A",TRUE,"S"))</f>
        <v/>
      </c>
    </row>
    <row r="261" spans="5:5">
      <c r="E261" s="5">
        <f>IF(OR(D261="",t=""),"",_xlfn.IFS(D261&gt;=t,"C",D261&gt;=t/2,"B",D261&gt;=t/4,"A",TRUE,"S"))</f>
        <v/>
      </c>
    </row>
    <row r="262" spans="5:5">
      <c r="E262" s="5">
        <f>IF(OR(D262="",t=""),"",_xlfn.IFS(D262&gt;=t,"C",D262&gt;=t/2,"B",D262&gt;=t/4,"A",TRUE,"S"))</f>
        <v/>
      </c>
    </row>
    <row r="263" spans="5:5">
      <c r="E263" s="5">
        <f>IF(OR(D263="",t=""),"",_xlfn.IFS(D263&gt;=t,"C",D263&gt;=t/2,"B",D263&gt;=t/4,"A",TRUE,"S"))</f>
        <v/>
      </c>
    </row>
    <row r="264" spans="5:5">
      <c r="E264" s="5">
        <f>IF(OR(D264="",t=""),"",_xlfn.IFS(D264&gt;=t,"C",D264&gt;=t/2,"B",D264&gt;=t/4,"A",TRUE,"S"))</f>
        <v/>
      </c>
    </row>
    <row r="265" spans="5:5">
      <c r="E265" s="5">
        <f>IF(OR(D265="",t=""),"",_xlfn.IFS(D265&gt;=t,"C",D265&gt;=t/2,"B",D265&gt;=t/4,"A",TRUE,"S"))</f>
        <v/>
      </c>
    </row>
    <row r="266" spans="5:5">
      <c r="E266" s="5">
        <f>IF(OR(D266="",t=""),"",_xlfn.IFS(D266&gt;=t,"C",D266&gt;=t/2,"B",D266&gt;=t/4,"A",TRUE,"S"))</f>
        <v/>
      </c>
    </row>
    <row r="267" spans="5:5">
      <c r="E267" s="5">
        <f>IF(OR(D267="",t=""),"",_xlfn.IFS(D267&gt;=t,"C",D267&gt;=t/2,"B",D267&gt;=t/4,"A",TRUE,"S"))</f>
        <v/>
      </c>
    </row>
    <row r="268" spans="5:5">
      <c r="E268" s="5">
        <f>IF(OR(D268="",t=""),"",_xlfn.IFS(D268&gt;=t,"C",D268&gt;=t/2,"B",D268&gt;=t/4,"A",TRUE,"S"))</f>
        <v/>
      </c>
    </row>
    <row r="269" spans="5:5">
      <c r="E269" s="5">
        <f>IF(OR(D269="",t=""),"",_xlfn.IFS(D269&gt;=t,"C",D269&gt;=t/2,"B",D269&gt;=t/4,"A",TRUE,"S"))</f>
        <v/>
      </c>
    </row>
    <row r="270" spans="5:5">
      <c r="E270" s="5">
        <f>IF(OR(D270="",t=""),"",_xlfn.IFS(D270&gt;=t,"C",D270&gt;=t/2,"B",D270&gt;=t/4,"A",TRUE,"S"))</f>
        <v/>
      </c>
    </row>
    <row r="271" spans="5:5">
      <c r="E271" s="5">
        <f>IF(OR(D271="",t=""),"",_xlfn.IFS(D271&gt;=t,"C",D271&gt;=t/2,"B",D271&gt;=t/4,"A",TRUE,"S"))</f>
        <v/>
      </c>
    </row>
    <row r="272" spans="5:5">
      <c r="E272" s="5">
        <f>IF(OR(D272="",t=""),"",_xlfn.IFS(D272&gt;=t,"C",D272&gt;=t/2,"B",D272&gt;=t/4,"A",TRUE,"S"))</f>
        <v/>
      </c>
    </row>
    <row r="273" spans="5:5">
      <c r="E273" s="5">
        <f>IF(OR(D273="",t=""),"",_xlfn.IFS(D273&gt;=t,"C",D273&gt;=t/2,"B",D273&gt;=t/4,"A",TRUE,"S"))</f>
        <v/>
      </c>
    </row>
    <row r="274" spans="5:5">
      <c r="E274" s="5">
        <f>IF(OR(D274="",t=""),"",_xlfn.IFS(D274&gt;=t,"C",D274&gt;=t/2,"B",D274&gt;=t/4,"A",TRUE,"S"))</f>
        <v/>
      </c>
    </row>
    <row r="275" spans="5:5">
      <c r="E275" s="5">
        <f>IF(OR(D275="",t=""),"",_xlfn.IFS(D275&gt;=t,"C",D275&gt;=t/2,"B",D275&gt;=t/4,"A",TRUE,"S"))</f>
        <v/>
      </c>
    </row>
    <row r="276" spans="5:5">
      <c r="E276" s="5">
        <f>IF(OR(D276="",t=""),"",_xlfn.IFS(D276&gt;=t,"C",D276&gt;=t/2,"B",D276&gt;=t/4,"A",TRUE,"S"))</f>
        <v/>
      </c>
    </row>
    <row r="277" spans="5:5">
      <c r="E277" s="5">
        <f>IF(OR(D277="",t=""),"",_xlfn.IFS(D277&gt;=t,"C",D277&gt;=t/2,"B",D277&gt;=t/4,"A",TRUE,"S"))</f>
        <v/>
      </c>
    </row>
    <row r="278" spans="5:5">
      <c r="E278" s="5">
        <f>IF(OR(D278="",t=""),"",_xlfn.IFS(D278&gt;=t,"C",D278&gt;=t/2,"B",D278&gt;=t/4,"A",TRUE,"S"))</f>
        <v/>
      </c>
    </row>
    <row r="279" spans="5:5">
      <c r="E279" s="5">
        <f>IF(OR(D279="",t=""),"",_xlfn.IFS(D279&gt;=t,"C",D279&gt;=t/2,"B",D279&gt;=t/4,"A",TRUE,"S"))</f>
        <v/>
      </c>
    </row>
    <row r="280" spans="5:5">
      <c r="E280" s="5">
        <f>IF(OR(D280="",t=""),"",_xlfn.IFS(D280&gt;=t,"C",D280&gt;=t/2,"B",D280&gt;=t/4,"A",TRUE,"S"))</f>
        <v/>
      </c>
    </row>
    <row r="281" spans="5:5">
      <c r="E281" s="5">
        <f>IF(OR(D281="",t=""),"",_xlfn.IFS(D281&gt;=t,"C",D281&gt;=t/2,"B",D281&gt;=t/4,"A",TRUE,"S"))</f>
        <v/>
      </c>
    </row>
    <row r="282" spans="5:5">
      <c r="E282" s="5">
        <f>IF(OR(D282="",t=""),"",_xlfn.IFS(D282&gt;=t,"C",D282&gt;=t/2,"B",D282&gt;=t/4,"A",TRUE,"S"))</f>
        <v/>
      </c>
    </row>
    <row r="283" spans="5:5">
      <c r="E283" s="5">
        <f>IF(OR(D283="",t=""),"",_xlfn.IFS(D283&gt;=t,"C",D283&gt;=t/2,"B",D283&gt;=t/4,"A",TRUE,"S"))</f>
        <v/>
      </c>
    </row>
    <row r="284" spans="5:5">
      <c r="E284" s="5">
        <f>IF(OR(D284="",t=""),"",_xlfn.IFS(D284&gt;=t,"C",D284&gt;=t/2,"B",D284&gt;=t/4,"A",TRUE,"S"))</f>
        <v/>
      </c>
    </row>
    <row r="285" spans="5:5">
      <c r="E285" s="5">
        <f>IF(OR(D285="",t=""),"",_xlfn.IFS(D285&gt;=t,"C",D285&gt;=t/2,"B",D285&gt;=t/4,"A",TRUE,"S"))</f>
        <v/>
      </c>
    </row>
    <row r="286" spans="5:5">
      <c r="E286" s="5">
        <f>IF(OR(D286="",t=""),"",_xlfn.IFS(D286&gt;=t,"C",D286&gt;=t/2,"B",D286&gt;=t/4,"A",TRUE,"S"))</f>
        <v/>
      </c>
    </row>
    <row r="287" spans="5:5">
      <c r="E287" s="5">
        <f>IF(OR(D287="",t=""),"",_xlfn.IFS(D287&gt;=t,"C",D287&gt;=t/2,"B",D287&gt;=t/4,"A",TRUE,"S"))</f>
        <v/>
      </c>
    </row>
    <row r="288" spans="5:5">
      <c r="E288" s="5">
        <f>IF(OR(D288="",t=""),"",_xlfn.IFS(D288&gt;=t,"C",D288&gt;=t/2,"B",D288&gt;=t/4,"A",TRUE,"S"))</f>
        <v/>
      </c>
    </row>
    <row r="289" spans="5:5">
      <c r="E289" s="5">
        <f>IF(OR(D289="",t=""),"",_xlfn.IFS(D289&gt;=t,"C",D289&gt;=t/2,"B",D289&gt;=t/4,"A",TRUE,"S"))</f>
        <v/>
      </c>
    </row>
    <row r="290" spans="5:5">
      <c r="E290" s="5">
        <f>IF(OR(D290="",t=""),"",_xlfn.IFS(D290&gt;=t,"C",D290&gt;=t/2,"B",D290&gt;=t/4,"A",TRUE,"S"))</f>
        <v/>
      </c>
    </row>
    <row r="291" spans="5:5">
      <c r="E291" s="5">
        <f>IF(OR(D291="",t=""),"",_xlfn.IFS(D291&gt;=t,"C",D291&gt;=t/2,"B",D291&gt;=t/4,"A",TRUE,"S"))</f>
        <v/>
      </c>
    </row>
    <row r="292" spans="5:5">
      <c r="E292" s="5">
        <f>IF(OR(D292="",t=""),"",_xlfn.IFS(D292&gt;=t,"C",D292&gt;=t/2,"B",D292&gt;=t/4,"A",TRUE,"S"))</f>
        <v/>
      </c>
    </row>
    <row r="293" spans="5:5">
      <c r="E293" s="5">
        <f>IF(OR(D293="",t=""),"",_xlfn.IFS(D293&gt;=t,"C",D293&gt;=t/2,"B",D293&gt;=t/4,"A",TRUE,"S"))</f>
        <v/>
      </c>
    </row>
    <row r="294" spans="5:5">
      <c r="E294" s="5">
        <f>IF(OR(D294="",t=""),"",_xlfn.IFS(D294&gt;=t,"C",D294&gt;=t/2,"B",D294&gt;=t/4,"A",TRUE,"S"))</f>
        <v/>
      </c>
    </row>
    <row r="295" spans="5:5">
      <c r="E295" s="5">
        <f>IF(OR(D295="",t=""),"",_xlfn.IFS(D295&gt;=t,"C",D295&gt;=t/2,"B",D295&gt;=t/4,"A",TRUE,"S"))</f>
        <v/>
      </c>
    </row>
    <row r="296" spans="5:5">
      <c r="E296" s="5">
        <f>IF(OR(D296="",t=""),"",_xlfn.IFS(D296&gt;=t,"C",D296&gt;=t/2,"B",D296&gt;=t/4,"A",TRUE,"S"))</f>
        <v/>
      </c>
    </row>
    <row r="297" spans="5:5">
      <c r="E297" s="5">
        <f>IF(OR(D297="",t=""),"",_xlfn.IFS(D297&gt;=t,"C",D297&gt;=t/2,"B",D297&gt;=t/4,"A",TRUE,"S"))</f>
        <v/>
      </c>
    </row>
    <row r="298" spans="5:5">
      <c r="E298" s="5">
        <f>IF(OR(D298="",t=""),"",_xlfn.IFS(D298&gt;=t,"C",D298&gt;=t/2,"B",D298&gt;=t/4,"A",TRUE,"S"))</f>
        <v/>
      </c>
    </row>
    <row r="299" spans="5:5">
      <c r="E299" s="5">
        <f>IF(OR(D299="",t=""),"",_xlfn.IFS(D299&gt;=t,"C",D299&gt;=t/2,"B",D299&gt;=t/4,"A",TRUE,"S"))</f>
        <v/>
      </c>
    </row>
    <row r="300" spans="5:5">
      <c r="E300" s="5">
        <f>IF(OR(D300="",t=""),"",_xlfn.IFS(D300&gt;=t,"C",D300&gt;=t/2,"B",D300&gt;=t/4,"A",TRUE,"S"))</f>
        <v/>
      </c>
    </row>
    <row r="301" spans="5:5">
      <c r="E301" s="5">
        <f>IF(OR(D301="",t=""),"",_xlfn.IFS(D301&gt;=t,"C",D301&gt;=t/2,"B",D301&gt;=t/4,"A",TRUE,"S"))</f>
        <v/>
      </c>
    </row>
    <row r="302" spans="5:5">
      <c r="E302" s="5">
        <f>IF(OR(D302="",t=""),"",_xlfn.IFS(D302&gt;=t,"C",D302&gt;=t/2,"B",D302&gt;=t/4,"A",TRUE,"S"))</f>
        <v/>
      </c>
    </row>
    <row r="303" spans="5:5">
      <c r="E303" s="5">
        <f>IF(OR(D303="",t=""),"",_xlfn.IFS(D303&gt;=t,"C",D303&gt;=t/2,"B",D303&gt;=t/4,"A",TRUE,"S"))</f>
        <v/>
      </c>
    </row>
    <row r="304" spans="5:5">
      <c r="E304" s="5">
        <f>IF(OR(D304="",t=""),"",_xlfn.IFS(D304&gt;=t,"C",D304&gt;=t/2,"B",D304&gt;=t/4,"A",TRUE,"S"))</f>
        <v/>
      </c>
    </row>
    <row r="305" spans="5:5">
      <c r="E305" s="5">
        <f>IF(OR(D305="",t=""),"",_xlfn.IFS(D305&gt;=t,"C",D305&gt;=t/2,"B",D305&gt;=t/4,"A",TRUE,"S"))</f>
        <v/>
      </c>
    </row>
    <row r="306" spans="5:5">
      <c r="E306" s="5">
        <f>IF(OR(D306="",t=""),"",_xlfn.IFS(D306&gt;=t,"C",D306&gt;=t/2,"B",D306&gt;=t/4,"A",TRUE,"S"))</f>
        <v/>
      </c>
    </row>
    <row r="307" spans="5:5">
      <c r="E307" s="5">
        <f>IF(OR(D307="",t=""),"",_xlfn.IFS(D307&gt;=t,"C",D307&gt;=t/2,"B",D307&gt;=t/4,"A",TRUE,"S"))</f>
        <v/>
      </c>
    </row>
    <row r="308" spans="5:5">
      <c r="E308" s="5">
        <f>IF(OR(D308="",t=""),"",_xlfn.IFS(D308&gt;=t,"C",D308&gt;=t/2,"B",D308&gt;=t/4,"A",TRUE,"S"))</f>
        <v/>
      </c>
    </row>
    <row r="309" spans="5:5">
      <c r="E309" s="5">
        <f>IF(OR(D309="",t=""),"",_xlfn.IFS(D309&gt;=t,"C",D309&gt;=t/2,"B",D309&gt;=t/4,"A",TRUE,"S"))</f>
        <v/>
      </c>
    </row>
    <row r="310" spans="5:5">
      <c r="E310" s="5">
        <f>IF(OR(D310="",t=""),"",_xlfn.IFS(D310&gt;=t,"C",D310&gt;=t/2,"B",D310&gt;=t/4,"A",TRUE,"S"))</f>
        <v/>
      </c>
    </row>
    <row r="311" spans="5:5">
      <c r="E311" s="5">
        <f>IF(OR(D311="",t=""),"",_xlfn.IFS(D311&gt;=t,"C",D311&gt;=t/2,"B",D311&gt;=t/4,"A",TRUE,"S"))</f>
        <v/>
      </c>
    </row>
    <row r="312" spans="5:5">
      <c r="E312" s="5">
        <f>IF(OR(D312="",t=""),"",_xlfn.IFS(D312&gt;=t,"C",D312&gt;=t/2,"B",D312&gt;=t/4,"A",TRUE,"S"))</f>
        <v/>
      </c>
    </row>
    <row r="313" spans="5:5">
      <c r="E313" s="5">
        <f>IF(OR(D313="",t=""),"",_xlfn.IFS(D313&gt;=t,"C",D313&gt;=t/2,"B",D313&gt;=t/4,"A",TRUE,"S"))</f>
        <v/>
      </c>
    </row>
    <row r="314" spans="5:5">
      <c r="E314" s="5">
        <f>IF(OR(D314="",t=""),"",_xlfn.IFS(D314&gt;=t,"C",D314&gt;=t/2,"B",D314&gt;=t/4,"A",TRUE,"S"))</f>
        <v/>
      </c>
    </row>
    <row r="315" spans="5:5">
      <c r="E315" s="5">
        <f>IF(OR(D315="",t=""),"",_xlfn.IFS(D315&gt;=t,"C",D315&gt;=t/2,"B",D315&gt;=t/4,"A",TRUE,"S"))</f>
        <v/>
      </c>
    </row>
    <row r="316" spans="5:5">
      <c r="E316" s="5">
        <f>IF(OR(D316="",t=""),"",_xlfn.IFS(D316&gt;=t,"C",D316&gt;=t/2,"B",D316&gt;=t/4,"A",TRUE,"S"))</f>
        <v/>
      </c>
    </row>
    <row r="317" spans="5:5">
      <c r="E317" s="5">
        <f>IF(OR(D317="",t=""),"",_xlfn.IFS(D317&gt;=t,"C",D317&gt;=t/2,"B",D317&gt;=t/4,"A",TRUE,"S"))</f>
        <v/>
      </c>
    </row>
    <row r="318" spans="5:5">
      <c r="E318" s="5">
        <f>IF(OR(D318="",t=""),"",_xlfn.IFS(D318&gt;=t,"C",D318&gt;=t/2,"B",D318&gt;=t/4,"A",TRUE,"S"))</f>
        <v/>
      </c>
    </row>
    <row r="319" spans="5:5">
      <c r="E319" s="5">
        <f>IF(OR(D319="",t=""),"",_xlfn.IFS(D319&gt;=t,"C",D319&gt;=t/2,"B",D319&gt;=t/4,"A",TRUE,"S"))</f>
        <v/>
      </c>
    </row>
    <row r="320" spans="5:5">
      <c r="E320" s="5">
        <f>IF(OR(D320="",t=""),"",_xlfn.IFS(D320&gt;=t,"C",D320&gt;=t/2,"B",D320&gt;=t/4,"A",TRUE,"S"))</f>
        <v/>
      </c>
    </row>
    <row r="321" spans="5:5">
      <c r="E321" s="5">
        <f>IF(OR(D321="",t=""),"",_xlfn.IFS(D321&gt;=t,"C",D321&gt;=t/2,"B",D321&gt;=t/4,"A",TRUE,"S"))</f>
        <v/>
      </c>
    </row>
    <row r="322" spans="5:5">
      <c r="E322" s="5">
        <f>IF(OR(D322="",t=""),"",_xlfn.IFS(D322&gt;=t,"C",D322&gt;=t/2,"B",D322&gt;=t/4,"A",TRUE,"S"))</f>
        <v/>
      </c>
    </row>
    <row r="323" spans="5:5">
      <c r="E323" s="5">
        <f>IF(OR(D323="",t=""),"",_xlfn.IFS(D323&gt;=t,"C",D323&gt;=t/2,"B",D323&gt;=t/4,"A",TRUE,"S"))</f>
        <v/>
      </c>
    </row>
    <row r="324" spans="5:5">
      <c r="E324" s="5">
        <f>IF(OR(D324="",t=""),"",_xlfn.IFS(D324&gt;=t,"C",D324&gt;=t/2,"B",D324&gt;=t/4,"A",TRUE,"S"))</f>
        <v/>
      </c>
    </row>
    <row r="325" spans="5:5">
      <c r="E325" s="5">
        <f>IF(OR(D325="",t=""),"",_xlfn.IFS(D325&gt;=t,"C",D325&gt;=t/2,"B",D325&gt;=t/4,"A",TRUE,"S"))</f>
        <v/>
      </c>
    </row>
    <row r="326" spans="5:5">
      <c r="E326" s="5">
        <f>IF(OR(D326="",t=""),"",_xlfn.IFS(D326&gt;=t,"C",D326&gt;=t/2,"B",D326&gt;=t/4,"A",TRUE,"S"))</f>
        <v/>
      </c>
    </row>
    <row r="327" spans="5:5">
      <c r="E327" s="5">
        <f>IF(OR(D327="",t=""),"",_xlfn.IFS(D327&gt;=t,"C",D327&gt;=t/2,"B",D327&gt;=t/4,"A",TRUE,"S"))</f>
        <v/>
      </c>
    </row>
    <row r="328" spans="5:5">
      <c r="E328" s="5">
        <f>IF(OR(D328="",t=""),"",_xlfn.IFS(D328&gt;=t,"C",D328&gt;=t/2,"B",D328&gt;=t/4,"A",TRUE,"S"))</f>
        <v/>
      </c>
    </row>
    <row r="329" spans="5:5">
      <c r="E329" s="5">
        <f>IF(OR(D329="",t=""),"",_xlfn.IFS(D329&gt;=t,"C",D329&gt;=t/2,"B",D329&gt;=t/4,"A",TRUE,"S"))</f>
        <v/>
      </c>
    </row>
    <row r="330" spans="5:5">
      <c r="E330" s="5">
        <f>IF(OR(D330="",t=""),"",_xlfn.IFS(D330&gt;=t,"C",D330&gt;=t/2,"B",D330&gt;=t/4,"A",TRUE,"S"))</f>
        <v/>
      </c>
    </row>
    <row r="331" spans="5:5">
      <c r="E331" s="5">
        <f>IF(OR(D331="",t=""),"",_xlfn.IFS(D331&gt;=t,"C",D331&gt;=t/2,"B",D331&gt;=t/4,"A",TRUE,"S"))</f>
        <v/>
      </c>
    </row>
    <row r="332" spans="5:5">
      <c r="E332" s="5">
        <f>IF(OR(D332="",t=""),"",_xlfn.IFS(D332&gt;=t,"C",D332&gt;=t/2,"B",D332&gt;=t/4,"A",TRUE,"S"))</f>
        <v/>
      </c>
    </row>
    <row r="333" spans="5:5">
      <c r="E333" s="5">
        <f>IF(OR(D333="",t=""),"",_xlfn.IFS(D333&gt;=t,"C",D333&gt;=t/2,"B",D333&gt;=t/4,"A",TRUE,"S"))</f>
        <v/>
      </c>
    </row>
    <row r="334" spans="5:5">
      <c r="E334" s="5">
        <f>IF(OR(D334="",t=""),"",_xlfn.IFS(D334&gt;=t,"C",D334&gt;=t/2,"B",D334&gt;=t/4,"A",TRUE,"S"))</f>
        <v/>
      </c>
    </row>
    <row r="335" spans="5:5">
      <c r="E335" s="5">
        <f>IF(OR(D335="",t=""),"",_xlfn.IFS(D335&gt;=t,"C",D335&gt;=t/2,"B",D335&gt;=t/4,"A",TRUE,"S"))</f>
        <v/>
      </c>
    </row>
    <row r="336" spans="5:5">
      <c r="E336" s="5">
        <f>IF(OR(D336="",t=""),"",_xlfn.IFS(D336&gt;=t,"C",D336&gt;=t/2,"B",D336&gt;=t/4,"A",TRUE,"S"))</f>
        <v/>
      </c>
    </row>
    <row r="337" spans="5:5">
      <c r="E337" s="5">
        <f>IF(OR(D337="",t=""),"",_xlfn.IFS(D337&gt;=t,"C",D337&gt;=t/2,"B",D337&gt;=t/4,"A",TRUE,"S"))</f>
        <v/>
      </c>
    </row>
    <row r="338" spans="5:5">
      <c r="E338" s="5">
        <f>IF(OR(D338="",t=""),"",_xlfn.IFS(D338&gt;=t,"C",D338&gt;=t/2,"B",D338&gt;=t/4,"A",TRUE,"S"))</f>
        <v/>
      </c>
    </row>
    <row r="339" spans="5:5">
      <c r="E339" s="5">
        <f>IF(OR(D339="",t=""),"",_xlfn.IFS(D339&gt;=t,"C",D339&gt;=t/2,"B",D339&gt;=t/4,"A",TRUE,"S"))</f>
        <v/>
      </c>
    </row>
    <row r="340" spans="5:5">
      <c r="E340" s="5">
        <f>IF(OR(D340="",t=""),"",_xlfn.IFS(D340&gt;=t,"C",D340&gt;=t/2,"B",D340&gt;=t/4,"A",TRUE,"S"))</f>
        <v/>
      </c>
    </row>
    <row r="341" spans="5:5">
      <c r="E341" s="5">
        <f>IF(OR(D341="",t=""),"",_xlfn.IFS(D341&gt;=t,"C",D341&gt;=t/2,"B",D341&gt;=t/4,"A",TRUE,"S"))</f>
        <v/>
      </c>
    </row>
    <row r="342" spans="5:5">
      <c r="E342" s="5">
        <f>IF(OR(D342="",t=""),"",_xlfn.IFS(D342&gt;=t,"C",D342&gt;=t/2,"B",D342&gt;=t/4,"A",TRUE,"S"))</f>
        <v/>
      </c>
    </row>
    <row r="343" spans="5:5">
      <c r="E343" s="5">
        <f>IF(OR(D343="",t=""),"",_xlfn.IFS(D343&gt;=t,"C",D343&gt;=t/2,"B",D343&gt;=t/4,"A",TRUE,"S"))</f>
        <v/>
      </c>
    </row>
    <row r="344" spans="5:5">
      <c r="E344" s="5">
        <f>IF(OR(D344="",t=""),"",_xlfn.IFS(D344&gt;=t,"C",D344&gt;=t/2,"B",D344&gt;=t/4,"A",TRUE,"S"))</f>
        <v/>
      </c>
    </row>
    <row r="345" spans="5:5">
      <c r="E345" s="5">
        <f>IF(OR(D345="",t=""),"",_xlfn.IFS(D345&gt;=t,"C",D345&gt;=t/2,"B",D345&gt;=t/4,"A",TRUE,"S"))</f>
        <v/>
      </c>
    </row>
    <row r="346" spans="5:5">
      <c r="E346" s="5">
        <f>IF(OR(D346="",t=""),"",_xlfn.IFS(D346&gt;=t,"C",D346&gt;=t/2,"B",D346&gt;=t/4,"A",TRUE,"S"))</f>
        <v/>
      </c>
    </row>
    <row r="347" spans="5:5">
      <c r="E347" s="5">
        <f>IF(OR(D347="",t=""),"",_xlfn.IFS(D347&gt;=t,"C",D347&gt;=t/2,"B",D347&gt;=t/4,"A",TRUE,"S"))</f>
        <v/>
      </c>
    </row>
    <row r="348" spans="5:5">
      <c r="E348" s="5">
        <f>IF(OR(D348="",t=""),"",_xlfn.IFS(D348&gt;=t,"C",D348&gt;=t/2,"B",D348&gt;=t/4,"A",TRUE,"S"))</f>
        <v/>
      </c>
    </row>
    <row r="349" spans="5:5">
      <c r="E349" s="5">
        <f>IF(OR(D349="",t=""),"",_xlfn.IFS(D349&gt;=t,"C",D349&gt;=t/2,"B",D349&gt;=t/4,"A",TRUE,"S"))</f>
        <v/>
      </c>
    </row>
    <row r="350" spans="5:5">
      <c r="E350" s="5">
        <f>IF(OR(D350="",t=""),"",_xlfn.IFS(D350&gt;=t,"C",D350&gt;=t/2,"B",D350&gt;=t/4,"A",TRUE,"S"))</f>
        <v/>
      </c>
    </row>
    <row r="351" spans="5:5">
      <c r="E351" s="5">
        <f>IF(OR(D351="",t=""),"",_xlfn.IFS(D351&gt;=t,"C",D351&gt;=t/2,"B",D351&gt;=t/4,"A",TRUE,"S"))</f>
        <v/>
      </c>
    </row>
    <row r="352" spans="5:5">
      <c r="E352" s="5">
        <f>IF(OR(D352="",t=""),"",_xlfn.IFS(D352&gt;=t,"C",D352&gt;=t/2,"B",D352&gt;=t/4,"A",TRUE,"S"))</f>
        <v/>
      </c>
    </row>
    <row r="353" spans="5:5">
      <c r="E353" s="5">
        <f>IF(OR(D353="",t=""),"",_xlfn.IFS(D353&gt;=t,"C",D353&gt;=t/2,"B",D353&gt;=t/4,"A",TRUE,"S"))</f>
        <v/>
      </c>
    </row>
    <row r="354" spans="5:5">
      <c r="E354" s="5">
        <f>IF(OR(D354="",t=""),"",_xlfn.IFS(D354&gt;=t,"C",D354&gt;=t/2,"B",D354&gt;=t/4,"A",TRUE,"S"))</f>
        <v/>
      </c>
    </row>
    <row r="355" spans="5:5">
      <c r="E355" s="5">
        <f>IF(OR(D355="",t=""),"",_xlfn.IFS(D355&gt;=t,"C",D355&gt;=t/2,"B",D355&gt;=t/4,"A",TRUE,"S"))</f>
        <v/>
      </c>
    </row>
    <row r="356" spans="5:5">
      <c r="E356" s="5">
        <f>IF(OR(D356="",t=""),"",_xlfn.IFS(D356&gt;=t,"C",D356&gt;=t/2,"B",D356&gt;=t/4,"A",TRUE,"S"))</f>
        <v/>
      </c>
    </row>
    <row r="357" spans="5:5">
      <c r="E357" s="5">
        <f>IF(OR(D357="",t=""),"",_xlfn.IFS(D357&gt;=t,"C",D357&gt;=t/2,"B",D357&gt;=t/4,"A",TRUE,"S"))</f>
        <v/>
      </c>
    </row>
    <row r="358" spans="5:5">
      <c r="E358" s="5">
        <f>IF(OR(D358="",t=""),"",_xlfn.IFS(D358&gt;=t,"C",D358&gt;=t/2,"B",D358&gt;=t/4,"A",TRUE,"S"))</f>
        <v/>
      </c>
    </row>
    <row r="359" spans="5:5">
      <c r="E359" s="5">
        <f>IF(OR(D359="",t=""),"",_xlfn.IFS(D359&gt;=t,"C",D359&gt;=t/2,"B",D359&gt;=t/4,"A",TRUE,"S"))</f>
        <v/>
      </c>
    </row>
    <row r="360" spans="5:5">
      <c r="E360" s="5">
        <f>IF(OR(D360="",t=""),"",_xlfn.IFS(D360&gt;=t,"C",D360&gt;=t/2,"B",D360&gt;=t/4,"A",TRUE,"S"))</f>
        <v/>
      </c>
    </row>
    <row r="361" spans="5:5">
      <c r="E361" s="5">
        <f>IF(OR(D361="",t=""),"",_xlfn.IFS(D361&gt;=t,"C",D361&gt;=t/2,"B",D361&gt;=t/4,"A",TRUE,"S"))</f>
        <v/>
      </c>
    </row>
    <row r="362" spans="5:5">
      <c r="E362" s="5">
        <f>IF(OR(D362="",t=""),"",_xlfn.IFS(D362&gt;=t,"C",D362&gt;=t/2,"B",D362&gt;=t/4,"A",TRUE,"S"))</f>
        <v/>
      </c>
    </row>
    <row r="363" spans="5:5">
      <c r="E363" s="5">
        <f>IF(OR(D363="",t=""),"",_xlfn.IFS(D363&gt;=t,"C",D363&gt;=t/2,"B",D363&gt;=t/4,"A",TRUE,"S"))</f>
        <v/>
      </c>
    </row>
    <row r="364" spans="5:5">
      <c r="E364" s="5">
        <f>IF(OR(D364="",t=""),"",_xlfn.IFS(D364&gt;=t,"C",D364&gt;=t/2,"B",D364&gt;=t/4,"A",TRUE,"S"))</f>
        <v/>
      </c>
    </row>
    <row r="365" spans="5:5">
      <c r="E365" s="5">
        <f>IF(OR(D365="",t=""),"",_xlfn.IFS(D365&gt;=t,"C",D365&gt;=t/2,"B",D365&gt;=t/4,"A",TRUE,"S"))</f>
        <v/>
      </c>
    </row>
    <row r="366" spans="5:5">
      <c r="E366" s="5">
        <f>IF(OR(D366="",t=""),"",_xlfn.IFS(D366&gt;=t,"C",D366&gt;=t/2,"B",D366&gt;=t/4,"A",TRUE,"S"))</f>
        <v/>
      </c>
    </row>
    <row r="367" spans="5:5">
      <c r="E367" s="5">
        <f>IF(OR(D367="",t=""),"",_xlfn.IFS(D367&gt;=t,"C",D367&gt;=t/2,"B",D367&gt;=t/4,"A",TRUE,"S"))</f>
        <v/>
      </c>
    </row>
    <row r="368" spans="5:5">
      <c r="E368" s="5">
        <f>IF(OR(D368="",t=""),"",_xlfn.IFS(D368&gt;=t,"C",D368&gt;=t/2,"B",D368&gt;=t/4,"A",TRUE,"S"))</f>
        <v/>
      </c>
    </row>
    <row r="369" spans="5:5">
      <c r="E369" s="5">
        <f>IF(OR(D369="",t=""),"",_xlfn.IFS(D369&gt;=t,"C",D369&gt;=t/2,"B",D369&gt;=t/4,"A",TRUE,"S"))</f>
        <v/>
      </c>
    </row>
    <row r="370" spans="5:5">
      <c r="E370" s="5">
        <f>IF(OR(D370="",t=""),"",_xlfn.IFS(D370&gt;=t,"C",D370&gt;=t/2,"B",D370&gt;=t/4,"A",TRUE,"S"))</f>
        <v/>
      </c>
    </row>
    <row r="371" spans="5:5">
      <c r="E371" s="5">
        <f>IF(OR(D371="",t=""),"",_xlfn.IFS(D371&gt;=t,"C",D371&gt;=t/2,"B",D371&gt;=t/4,"A",TRUE,"S"))</f>
        <v/>
      </c>
    </row>
    <row r="372" spans="5:5">
      <c r="E372" s="5">
        <f>IF(OR(D372="",t=""),"",_xlfn.IFS(D372&gt;=t,"C",D372&gt;=t/2,"B",D372&gt;=t/4,"A",TRUE,"S"))</f>
        <v/>
      </c>
    </row>
    <row r="373" spans="5:5">
      <c r="E373" s="5">
        <f>IF(OR(D373="",t=""),"",_xlfn.IFS(D373&gt;=t,"C",D373&gt;=t/2,"B",D373&gt;=t/4,"A",TRUE,"S"))</f>
        <v/>
      </c>
    </row>
    <row r="374" spans="5:5">
      <c r="E374" s="5">
        <f>IF(OR(D374="",t=""),"",_xlfn.IFS(D374&gt;=t,"C",D374&gt;=t/2,"B",D374&gt;=t/4,"A",TRUE,"S"))</f>
        <v/>
      </c>
    </row>
    <row r="375" spans="5:5">
      <c r="E375" s="5">
        <f>IF(OR(D375="",t=""),"",_xlfn.IFS(D375&gt;=t,"C",D375&gt;=t/2,"B",D375&gt;=t/4,"A",TRUE,"S"))</f>
        <v/>
      </c>
    </row>
    <row r="376" spans="5:5">
      <c r="E376" s="5">
        <f>IF(OR(D376="",t=""),"",_xlfn.IFS(D376&gt;=t,"C",D376&gt;=t/2,"B",D376&gt;=t/4,"A",TRUE,"S"))</f>
        <v/>
      </c>
    </row>
    <row r="377" spans="5:5">
      <c r="E377" s="5">
        <f>IF(OR(D377="",t=""),"",_xlfn.IFS(D377&gt;=t,"C",D377&gt;=t/2,"B",D377&gt;=t/4,"A",TRUE,"S"))</f>
        <v/>
      </c>
    </row>
    <row r="378" spans="5:5">
      <c r="E378" s="5">
        <f>IF(OR(D378="",t=""),"",_xlfn.IFS(D378&gt;=t,"C",D378&gt;=t/2,"B",D378&gt;=t/4,"A",TRUE,"S"))</f>
        <v/>
      </c>
    </row>
    <row r="379" spans="5:5">
      <c r="E379" s="5">
        <f>IF(OR(D379="",t=""),"",_xlfn.IFS(D379&gt;=t,"C",D379&gt;=t/2,"B",D379&gt;=t/4,"A",TRUE,"S"))</f>
        <v/>
      </c>
    </row>
    <row r="380" spans="5:5">
      <c r="E380" s="5">
        <f>IF(OR(D380="",t=""),"",_xlfn.IFS(D380&gt;=t,"C",D380&gt;=t/2,"B",D380&gt;=t/4,"A",TRUE,"S"))</f>
        <v/>
      </c>
    </row>
    <row r="381" spans="5:5">
      <c r="E381" s="5">
        <f>IF(OR(D381="",t=""),"",_xlfn.IFS(D381&gt;=t,"C",D381&gt;=t/2,"B",D381&gt;=t/4,"A",TRUE,"S"))</f>
        <v/>
      </c>
    </row>
    <row r="382" spans="5:5">
      <c r="E382" s="5">
        <f>IF(OR(D382="",t=""),"",_xlfn.IFS(D382&gt;=t,"C",D382&gt;=t/2,"B",D382&gt;=t/4,"A",TRUE,"S"))</f>
        <v/>
      </c>
    </row>
    <row r="383" spans="5:5">
      <c r="E383" s="5">
        <f>IF(OR(D383="",t=""),"",_xlfn.IFS(D383&gt;=t,"C",D383&gt;=t/2,"B",D383&gt;=t/4,"A",TRUE,"S"))</f>
        <v/>
      </c>
    </row>
    <row r="384" spans="5:5">
      <c r="E384" s="5">
        <f>IF(OR(D384="",t=""),"",_xlfn.IFS(D384&gt;=t,"C",D384&gt;=t/2,"B",D384&gt;=t/4,"A",TRUE,"S"))</f>
        <v/>
      </c>
    </row>
    <row r="385" spans="5:5">
      <c r="E385" s="5">
        <f>IF(OR(D385="",t=""),"",_xlfn.IFS(D385&gt;=t,"C",D385&gt;=t/2,"B",D385&gt;=t/4,"A",TRUE,"S"))</f>
        <v/>
      </c>
    </row>
    <row r="386" spans="5:5">
      <c r="E386" s="5">
        <f>IF(OR(D386="",t=""),"",_xlfn.IFS(D386&gt;=t,"C",D386&gt;=t/2,"B",D386&gt;=t/4,"A",TRUE,"S"))</f>
        <v/>
      </c>
    </row>
    <row r="387" spans="5:5">
      <c r="E387" s="5">
        <f>IF(OR(D387="",t=""),"",_xlfn.IFS(D387&gt;=t,"C",D387&gt;=t/2,"B",D387&gt;=t/4,"A",TRUE,"S"))</f>
        <v/>
      </c>
    </row>
    <row r="388" spans="5:5">
      <c r="E388" s="5">
        <f>IF(OR(D388="",t=""),"",_xlfn.IFS(D388&gt;=t,"C",D388&gt;=t/2,"B",D388&gt;=t/4,"A",TRUE,"S"))</f>
        <v/>
      </c>
    </row>
    <row r="389" spans="5:5">
      <c r="E389" s="5">
        <f>IF(OR(D389="",t=""),"",_xlfn.IFS(D389&gt;=t,"C",D389&gt;=t/2,"B",D389&gt;=t/4,"A",TRUE,"S"))</f>
        <v/>
      </c>
    </row>
    <row r="390" spans="5:5">
      <c r="E390" s="5">
        <f>IF(OR(D390="",t=""),"",_xlfn.IFS(D390&gt;=t,"C",D390&gt;=t/2,"B",D390&gt;=t/4,"A",TRUE,"S"))</f>
        <v/>
      </c>
    </row>
    <row r="391" spans="5:5">
      <c r="E391" s="5">
        <f>IF(OR(D391="",t=""),"",_xlfn.IFS(D391&gt;=t,"C",D391&gt;=t/2,"B",D391&gt;=t/4,"A",TRUE,"S"))</f>
        <v/>
      </c>
    </row>
    <row r="392" spans="5:5">
      <c r="E392" s="5">
        <f>IF(OR(D392="",t=""),"",_xlfn.IFS(D392&gt;=t,"C",D392&gt;=t/2,"B",D392&gt;=t/4,"A",TRUE,"S"))</f>
        <v/>
      </c>
    </row>
    <row r="393" spans="5:5">
      <c r="E393" s="5">
        <f>IF(OR(D393="",t=""),"",_xlfn.IFS(D393&gt;=t,"C",D393&gt;=t/2,"B",D393&gt;=t/4,"A",TRUE,"S"))</f>
        <v/>
      </c>
    </row>
    <row r="394" spans="5:5">
      <c r="E394" s="5">
        <f>IF(OR(D394="",t=""),"",_xlfn.IFS(D394&gt;=t,"C",D394&gt;=t/2,"B",D394&gt;=t/4,"A",TRUE,"S"))</f>
        <v/>
      </c>
    </row>
    <row r="395" spans="5:5">
      <c r="E395" s="5">
        <f>IF(OR(D395="",t=""),"",_xlfn.IFS(D395&gt;=t,"C",D395&gt;=t/2,"B",D395&gt;=t/4,"A",TRUE,"S"))</f>
        <v/>
      </c>
    </row>
    <row r="396" spans="5:5">
      <c r="E396" s="5">
        <f>IF(OR(D396="",t=""),"",_xlfn.IFS(D396&gt;=t,"C",D396&gt;=t/2,"B",D396&gt;=t/4,"A",TRUE,"S"))</f>
        <v/>
      </c>
    </row>
    <row r="397" spans="5:5">
      <c r="E397" s="5">
        <f>IF(OR(D397="",t=""),"",_xlfn.IFS(D397&gt;=t,"C",D397&gt;=t/2,"B",D397&gt;=t/4,"A",TRUE,"S"))</f>
        <v/>
      </c>
    </row>
    <row r="398" spans="5:5">
      <c r="E398" s="5">
        <f>IF(OR(D398="",t=""),"",_xlfn.IFS(D398&gt;=t,"C",D398&gt;=t/2,"B",D398&gt;=t/4,"A",TRUE,"S"))</f>
        <v/>
      </c>
    </row>
    <row r="399" spans="5:5">
      <c r="E399" s="5">
        <f>IF(OR(D399="",t=""),"",_xlfn.IFS(D399&gt;=t,"C",D399&gt;=t/2,"B",D399&gt;=t/4,"A",TRUE,"S"))</f>
        <v/>
      </c>
    </row>
    <row r="400" spans="5:5">
      <c r="E400" s="5">
        <f>IF(OR(D400="",t=""),"",_xlfn.IFS(D400&gt;=t,"C",D400&gt;=t/2,"B",D400&gt;=t/4,"A",TRUE,"S"))</f>
        <v/>
      </c>
    </row>
    <row r="401" spans="5:5">
      <c r="E401" s="5">
        <f>IF(OR(D401="",t=""),"",_xlfn.IFS(D401&gt;=t,"C",D401&gt;=t/2,"B",D401&gt;=t/4,"A",TRUE,"S"))</f>
        <v/>
      </c>
    </row>
    <row r="402" spans="5:5">
      <c r="E402" s="5">
        <f>IF(OR(D402="",t=""),"",_xlfn.IFS(D402&gt;=t,"C",D402&gt;=t/2,"B",D402&gt;=t/4,"A",TRUE,"S"))</f>
        <v/>
      </c>
    </row>
    <row r="403" spans="5:5">
      <c r="E403" s="5">
        <f>IF(OR(D403="",t=""),"",_xlfn.IFS(D403&gt;=t,"C",D403&gt;=t/2,"B",D403&gt;=t/4,"A",TRUE,"S"))</f>
        <v/>
      </c>
    </row>
    <row r="404" spans="5:5">
      <c r="E404" s="5">
        <f>IF(OR(D404="",t=""),"",_xlfn.IFS(D404&gt;=t,"C",D404&gt;=t/2,"B",D404&gt;=t/4,"A",TRUE,"S"))</f>
        <v/>
      </c>
    </row>
    <row r="405" spans="5:5">
      <c r="E405" s="5">
        <f>IF(OR(D405="",t=""),"",_xlfn.IFS(D405&gt;=t,"C",D405&gt;=t/2,"B",D405&gt;=t/4,"A",TRUE,"S"))</f>
        <v/>
      </c>
    </row>
    <row r="406" spans="5:5">
      <c r="E406" s="5">
        <f>IF(OR(D406="",t=""),"",_xlfn.IFS(D406&gt;=t,"C",D406&gt;=t/2,"B",D406&gt;=t/4,"A",TRUE,"S"))</f>
        <v/>
      </c>
    </row>
    <row r="407" spans="5:5">
      <c r="E407" s="5">
        <f>IF(OR(D407="",t=""),"",_xlfn.IFS(D407&gt;=t,"C",D407&gt;=t/2,"B",D407&gt;=t/4,"A",TRUE,"S"))</f>
        <v/>
      </c>
    </row>
    <row r="408" spans="5:5">
      <c r="E408" s="5">
        <f>IF(OR(D408="",t=""),"",_xlfn.IFS(D408&gt;=t,"C",D408&gt;=t/2,"B",D408&gt;=t/4,"A",TRUE,"S"))</f>
        <v/>
      </c>
    </row>
    <row r="409" spans="5:5">
      <c r="E409" s="5">
        <f>IF(OR(D409="",t=""),"",_xlfn.IFS(D409&gt;=t,"C",D409&gt;=t/2,"B",D409&gt;=t/4,"A",TRUE,"S"))</f>
        <v/>
      </c>
    </row>
    <row r="410" spans="5:5">
      <c r="E410" s="5">
        <f>IF(OR(D410="",t=""),"",_xlfn.IFS(D410&gt;=t,"C",D410&gt;=t/2,"B",D410&gt;=t/4,"A",TRUE,"S"))</f>
        <v/>
      </c>
    </row>
    <row r="411" spans="5:5">
      <c r="E411" s="5">
        <f>IF(OR(D411="",t=""),"",_xlfn.IFS(D411&gt;=t,"C",D411&gt;=t/2,"B",D411&gt;=t/4,"A",TRUE,"S"))</f>
        <v/>
      </c>
    </row>
    <row r="412" spans="5:5">
      <c r="E412" s="5">
        <f>IF(OR(D412="",t=""),"",_xlfn.IFS(D412&gt;=t,"C",D412&gt;=t/2,"B",D412&gt;=t/4,"A",TRUE,"S"))</f>
        <v/>
      </c>
    </row>
    <row r="413" spans="5:5">
      <c r="E413" s="5">
        <f>IF(OR(D413="",t=""),"",_xlfn.IFS(D413&gt;=t,"C",D413&gt;=t/2,"B",D413&gt;=t/4,"A",TRUE,"S"))</f>
        <v/>
      </c>
    </row>
    <row r="414" spans="5:5">
      <c r="E414" s="5">
        <f>IF(OR(D414="",t=""),"",_xlfn.IFS(D414&gt;=t,"C",D414&gt;=t/2,"B",D414&gt;=t/4,"A",TRUE,"S"))</f>
        <v/>
      </c>
    </row>
    <row r="415" spans="5:5">
      <c r="E415" s="5">
        <f>IF(OR(D415="",t=""),"",_xlfn.IFS(D415&gt;=t,"C",D415&gt;=t/2,"B",D415&gt;=t/4,"A",TRUE,"S"))</f>
        <v/>
      </c>
    </row>
    <row r="416" spans="5:5">
      <c r="E416" s="5">
        <f>IF(OR(D416="",t=""),"",_xlfn.IFS(D416&gt;=t,"C",D416&gt;=t/2,"B",D416&gt;=t/4,"A",TRUE,"S"))</f>
        <v/>
      </c>
    </row>
    <row r="417" spans="5:5">
      <c r="E417" s="5">
        <f>IF(OR(D417="",t=""),"",_xlfn.IFS(D417&gt;=t,"C",D417&gt;=t/2,"B",D417&gt;=t/4,"A",TRUE,"S"))</f>
        <v/>
      </c>
    </row>
    <row r="418" spans="5:5">
      <c r="E418" s="5">
        <f>IF(OR(D418="",t=""),"",_xlfn.IFS(D418&gt;=t,"C",D418&gt;=t/2,"B",D418&gt;=t/4,"A",TRUE,"S"))</f>
        <v/>
      </c>
    </row>
    <row r="419" spans="5:5">
      <c r="E419" s="5">
        <f>IF(OR(D419="",t=""),"",_xlfn.IFS(D419&gt;=t,"C",D419&gt;=t/2,"B",D419&gt;=t/4,"A",TRUE,"S"))</f>
        <v/>
      </c>
    </row>
    <row r="420" spans="5:5">
      <c r="E420" s="5">
        <f>IF(OR(D420="",t=""),"",_xlfn.IFS(D420&gt;=t,"C",D420&gt;=t/2,"B",D420&gt;=t/4,"A",TRUE,"S"))</f>
        <v/>
      </c>
    </row>
    <row r="421" spans="5:5">
      <c r="E421" s="5">
        <f>IF(OR(D421="",t=""),"",_xlfn.IFS(D421&gt;=t,"C",D421&gt;=t/2,"B",D421&gt;=t/4,"A",TRUE,"S"))</f>
        <v/>
      </c>
    </row>
    <row r="422" spans="5:5">
      <c r="E422" s="5">
        <f>IF(OR(D422="",t=""),"",_xlfn.IFS(D422&gt;=t,"C",D422&gt;=t/2,"B",D422&gt;=t/4,"A",TRUE,"S"))</f>
        <v/>
      </c>
    </row>
    <row r="423" spans="5:5">
      <c r="E423" s="5">
        <f>IF(OR(D423="",t=""),"",_xlfn.IFS(D423&gt;=t,"C",D423&gt;=t/2,"B",D423&gt;=t/4,"A",TRUE,"S"))</f>
        <v/>
      </c>
    </row>
    <row r="424" spans="5:5">
      <c r="E424" s="5">
        <f>IF(OR(D424="",t=""),"",_xlfn.IFS(D424&gt;=t,"C",D424&gt;=t/2,"B",D424&gt;=t/4,"A",TRUE,"S"))</f>
        <v/>
      </c>
    </row>
    <row r="425" spans="5:5">
      <c r="E425" s="5">
        <f>IF(OR(D425="",t=""),"",_xlfn.IFS(D425&gt;=t,"C",D425&gt;=t/2,"B",D425&gt;=t/4,"A",TRUE,"S"))</f>
        <v/>
      </c>
    </row>
    <row r="426" spans="5:5">
      <c r="E426" s="5">
        <f>IF(OR(D426="",t=""),"",_xlfn.IFS(D426&gt;=t,"C",D426&gt;=t/2,"B",D426&gt;=t/4,"A",TRUE,"S"))</f>
        <v/>
      </c>
    </row>
    <row r="427" spans="5:5">
      <c r="E427" s="5">
        <f>IF(OR(D427="",t=""),"",_xlfn.IFS(D427&gt;=t,"C",D427&gt;=t/2,"B",D427&gt;=t/4,"A",TRUE,"S"))</f>
        <v/>
      </c>
    </row>
    <row r="428" spans="5:5">
      <c r="E428" s="5">
        <f>IF(OR(D428="",t=""),"",_xlfn.IFS(D428&gt;=t,"C",D428&gt;=t/2,"B",D428&gt;=t/4,"A",TRUE,"S"))</f>
        <v/>
      </c>
    </row>
    <row r="429" spans="5:5">
      <c r="E429" s="5">
        <f>IF(OR(D429="",t=""),"",_xlfn.IFS(D429&gt;=t,"C",D429&gt;=t/2,"B",D429&gt;=t/4,"A",TRUE,"S"))</f>
        <v/>
      </c>
    </row>
    <row r="430" spans="5:5">
      <c r="E430" s="5">
        <f>IF(OR(D430="",t=""),"",_xlfn.IFS(D430&gt;=t,"C",D430&gt;=t/2,"B",D430&gt;=t/4,"A",TRUE,"S"))</f>
        <v/>
      </c>
    </row>
    <row r="431" spans="5:5">
      <c r="E431" s="5">
        <f>IF(OR(D431="",t=""),"",_xlfn.IFS(D431&gt;=t,"C",D431&gt;=t/2,"B",D431&gt;=t/4,"A",TRUE,"S"))</f>
        <v/>
      </c>
    </row>
    <row r="432" spans="5:5">
      <c r="E432" s="5">
        <f>IF(OR(D432="",t=""),"",_xlfn.IFS(D432&gt;=t,"C",D432&gt;=t/2,"B",D432&gt;=t/4,"A",TRUE,"S"))</f>
        <v/>
      </c>
    </row>
    <row r="433" spans="5:5">
      <c r="E433" s="5">
        <f>IF(OR(D433="",t=""),"",_xlfn.IFS(D433&gt;=t,"C",D433&gt;=t/2,"B",D433&gt;=t/4,"A",TRUE,"S"))</f>
        <v/>
      </c>
    </row>
    <row r="434" spans="5:5">
      <c r="E434" s="5">
        <f>IF(OR(D434="",t=""),"",_xlfn.IFS(D434&gt;=t,"C",D434&gt;=t/2,"B",D434&gt;=t/4,"A",TRUE,"S"))</f>
        <v/>
      </c>
    </row>
    <row r="435" spans="5:5">
      <c r="E435" s="5">
        <f>IF(OR(D435="",t=""),"",_xlfn.IFS(D435&gt;=t,"C",D435&gt;=t/2,"B",D435&gt;=t/4,"A",TRUE,"S"))</f>
        <v/>
      </c>
    </row>
    <row r="436" spans="5:5">
      <c r="E436" s="5">
        <f>IF(OR(D436="",t=""),"",_xlfn.IFS(D436&gt;=t,"C",D436&gt;=t/2,"B",D436&gt;=t/4,"A",TRUE,"S"))</f>
        <v/>
      </c>
    </row>
    <row r="437" spans="5:5">
      <c r="E437" s="5">
        <f>IF(OR(D437="",t=""),"",_xlfn.IFS(D437&gt;=t,"C",D437&gt;=t/2,"B",D437&gt;=t/4,"A",TRUE,"S"))</f>
        <v/>
      </c>
    </row>
    <row r="438" spans="5:5">
      <c r="E438" s="5">
        <f>IF(OR(D438="",t=""),"",_xlfn.IFS(D438&gt;=t,"C",D438&gt;=t/2,"B",D438&gt;=t/4,"A",TRUE,"S"))</f>
        <v/>
      </c>
    </row>
    <row r="439" spans="5:5">
      <c r="E439" s="5">
        <f>IF(OR(D439="",t=""),"",_xlfn.IFS(D439&gt;=t,"C",D439&gt;=t/2,"B",D439&gt;=t/4,"A",TRUE,"S"))</f>
        <v/>
      </c>
    </row>
    <row r="440" spans="5:5">
      <c r="E440" s="5">
        <f>IF(OR(D440="",t=""),"",_xlfn.IFS(D440&gt;=t,"C",D440&gt;=t/2,"B",D440&gt;=t/4,"A",TRUE,"S"))</f>
        <v/>
      </c>
    </row>
    <row r="441" spans="5:5">
      <c r="E441" s="5">
        <f>IF(OR(D441="",t=""),"",_xlfn.IFS(D441&gt;=t,"C",D441&gt;=t/2,"B",D441&gt;=t/4,"A",TRUE,"S"))</f>
        <v/>
      </c>
    </row>
    <row r="442" spans="5:5">
      <c r="E442" s="5">
        <f>IF(OR(D442="",t=""),"",_xlfn.IFS(D442&gt;=t,"C",D442&gt;=t/2,"B",D442&gt;=t/4,"A",TRUE,"S"))</f>
        <v/>
      </c>
    </row>
    <row r="443" spans="5:5">
      <c r="E443" s="5">
        <f>IF(OR(D443="",t=""),"",_xlfn.IFS(D443&gt;=t,"C",D443&gt;=t/2,"B",D443&gt;=t/4,"A",TRUE,"S"))</f>
        <v/>
      </c>
    </row>
    <row r="444" spans="5:5">
      <c r="E444" s="5">
        <f>IF(OR(D444="",t=""),"",_xlfn.IFS(D444&gt;=t,"C",D444&gt;=t/2,"B",D444&gt;=t/4,"A",TRUE,"S"))</f>
        <v/>
      </c>
    </row>
    <row r="445" spans="5:5">
      <c r="E445" s="5">
        <f>IF(OR(D445="",t=""),"",_xlfn.IFS(D445&gt;=t,"C",D445&gt;=t/2,"B",D445&gt;=t/4,"A",TRUE,"S"))</f>
        <v/>
      </c>
    </row>
    <row r="446" spans="5:5">
      <c r="E446" s="5">
        <f>IF(OR(D446="",t=""),"",_xlfn.IFS(D446&gt;=t,"C",D446&gt;=t/2,"B",D446&gt;=t/4,"A",TRUE,"S"))</f>
        <v/>
      </c>
    </row>
    <row r="447" spans="5:5">
      <c r="E447" s="5">
        <f>IF(OR(D447="",t=""),"",_xlfn.IFS(D447&gt;=t,"C",D447&gt;=t/2,"B",D447&gt;=t/4,"A",TRUE,"S"))</f>
        <v/>
      </c>
    </row>
    <row r="448" spans="5:5">
      <c r="E448" s="5">
        <f>IF(OR(D448="",t=""),"",_xlfn.IFS(D448&gt;=t,"C",D448&gt;=t/2,"B",D448&gt;=t/4,"A",TRUE,"S"))</f>
        <v/>
      </c>
    </row>
    <row r="449" spans="5:5">
      <c r="E449" s="5">
        <f>IF(OR(D449="",t=""),"",_xlfn.IFS(D449&gt;=t,"C",D449&gt;=t/2,"B",D449&gt;=t/4,"A",TRUE,"S"))</f>
        <v/>
      </c>
    </row>
    <row r="450" spans="5:5">
      <c r="E450" s="5">
        <f>IF(OR(D450="",t=""),"",_xlfn.IFS(D450&gt;=t,"C",D450&gt;=t/2,"B",D450&gt;=t/4,"A",TRUE,"S"))</f>
        <v/>
      </c>
    </row>
    <row r="451" spans="5:5">
      <c r="E451" s="5">
        <f>IF(OR(D451="",t=""),"",_xlfn.IFS(D451&gt;=t,"C",D451&gt;=t/2,"B",D451&gt;=t/4,"A",TRUE,"S"))</f>
        <v/>
      </c>
    </row>
    <row r="452" spans="5:5">
      <c r="E452" s="5">
        <f>IF(OR(D452="",t=""),"",_xlfn.IFS(D452&gt;=t,"C",D452&gt;=t/2,"B",D452&gt;=t/4,"A",TRUE,"S"))</f>
        <v/>
      </c>
    </row>
    <row r="453" spans="5:5">
      <c r="E453" s="5">
        <f>IF(OR(D453="",t=""),"",_xlfn.IFS(D453&gt;=t,"C",D453&gt;=t/2,"B",D453&gt;=t/4,"A",TRUE,"S"))</f>
        <v/>
      </c>
    </row>
    <row r="454" spans="5:5">
      <c r="E454" s="5">
        <f>IF(OR(D454="",t=""),"",_xlfn.IFS(D454&gt;=t,"C",D454&gt;=t/2,"B",D454&gt;=t/4,"A",TRUE,"S"))</f>
        <v/>
      </c>
    </row>
    <row r="455" spans="5:5">
      <c r="E455" s="5">
        <f>IF(OR(D455="",t=""),"",_xlfn.IFS(D455&gt;=t,"C",D455&gt;=t/2,"B",D455&gt;=t/4,"A",TRUE,"S"))</f>
        <v/>
      </c>
    </row>
    <row r="456" spans="5:5">
      <c r="E456" s="5">
        <f>IF(OR(D456="",t=""),"",_xlfn.IFS(D456&gt;=t,"C",D456&gt;=t/2,"B",D456&gt;=t/4,"A",TRUE,"S"))</f>
        <v/>
      </c>
    </row>
    <row r="457" spans="5:5">
      <c r="E457" s="5">
        <f>IF(OR(D457="",t=""),"",_xlfn.IFS(D457&gt;=t,"C",D457&gt;=t/2,"B",D457&gt;=t/4,"A",TRUE,"S"))</f>
        <v/>
      </c>
    </row>
    <row r="458" spans="5:5">
      <c r="E458" s="5">
        <f>IF(OR(D458="",t=""),"",_xlfn.IFS(D458&gt;=t,"C",D458&gt;=t/2,"B",D458&gt;=t/4,"A",TRUE,"S"))</f>
        <v/>
      </c>
    </row>
    <row r="459" spans="5:5">
      <c r="E459" s="5">
        <f>IF(OR(D459="",t=""),"",_xlfn.IFS(D459&gt;=t,"C",D459&gt;=t/2,"B",D459&gt;=t/4,"A",TRUE,"S"))</f>
        <v/>
      </c>
    </row>
    <row r="460" spans="5:5">
      <c r="E460" s="5">
        <f>IF(OR(D460="",t=""),"",_xlfn.IFS(D460&gt;=t,"C",D460&gt;=t/2,"B",D460&gt;=t/4,"A",TRUE,"S"))</f>
        <v/>
      </c>
    </row>
    <row r="461" spans="5:5">
      <c r="E461" s="5">
        <f>IF(OR(D461="",t=""),"",_xlfn.IFS(D461&gt;=t,"C",D461&gt;=t/2,"B",D461&gt;=t/4,"A",TRUE,"S"))</f>
        <v/>
      </c>
    </row>
    <row r="462" spans="5:5">
      <c r="E462" s="5">
        <f>IF(OR(D462="",t=""),"",_xlfn.IFS(D462&gt;=t,"C",D462&gt;=t/2,"B",D462&gt;=t/4,"A",TRUE,"S"))</f>
        <v/>
      </c>
    </row>
    <row r="463" spans="5:5">
      <c r="E463" s="5">
        <f>IF(OR(D463="",t=""),"",_xlfn.IFS(D463&gt;=t,"C",D463&gt;=t/2,"B",D463&gt;=t/4,"A",TRUE,"S"))</f>
        <v/>
      </c>
    </row>
    <row r="464" spans="5:5">
      <c r="E464" s="5">
        <f>IF(OR(D464="",t=""),"",_xlfn.IFS(D464&gt;=t,"C",D464&gt;=t/2,"B",D464&gt;=t/4,"A",TRUE,"S"))</f>
        <v/>
      </c>
    </row>
    <row r="465" spans="5:5">
      <c r="E465" s="5">
        <f>IF(OR(D465="",t=""),"",_xlfn.IFS(D465&gt;=t,"C",D465&gt;=t/2,"B",D465&gt;=t/4,"A",TRUE,"S"))</f>
        <v/>
      </c>
    </row>
    <row r="466" spans="5:5">
      <c r="E466" s="5">
        <f>IF(OR(D466="",t=""),"",_xlfn.IFS(D466&gt;=t,"C",D466&gt;=t/2,"B",D466&gt;=t/4,"A",TRUE,"S"))</f>
        <v/>
      </c>
    </row>
    <row r="467" spans="5:5">
      <c r="E467" s="5">
        <f>IF(OR(D467="",t=""),"",_xlfn.IFS(D467&gt;=t,"C",D467&gt;=t/2,"B",D467&gt;=t/4,"A",TRUE,"S"))</f>
        <v/>
      </c>
    </row>
    <row r="468" spans="5:5">
      <c r="E468" s="5">
        <f>IF(OR(D468="",t=""),"",_xlfn.IFS(D468&gt;=t,"C",D468&gt;=t/2,"B",D468&gt;=t/4,"A",TRUE,"S"))</f>
        <v/>
      </c>
    </row>
    <row r="469" spans="5:5">
      <c r="E469" s="5">
        <f>IF(OR(D469="",t=""),"",_xlfn.IFS(D469&gt;=t,"C",D469&gt;=t/2,"B",D469&gt;=t/4,"A",TRUE,"S"))</f>
        <v/>
      </c>
    </row>
    <row r="470" spans="5:5">
      <c r="E470" s="5">
        <f>IF(OR(D470="",t=""),"",_xlfn.IFS(D470&gt;=t,"C",D470&gt;=t/2,"B",D470&gt;=t/4,"A",TRUE,"S"))</f>
        <v/>
      </c>
    </row>
    <row r="471" spans="5:5">
      <c r="E471" s="5">
        <f>IF(OR(D471="",t=""),"",_xlfn.IFS(D471&gt;=t,"C",D471&gt;=t/2,"B",D471&gt;=t/4,"A",TRUE,"S"))</f>
        <v/>
      </c>
    </row>
    <row r="472" spans="5:5">
      <c r="E472" s="5">
        <f>IF(OR(D472="",t=""),"",_xlfn.IFS(D472&gt;=t,"C",D472&gt;=t/2,"B",D472&gt;=t/4,"A",TRUE,"S"))</f>
        <v/>
      </c>
    </row>
    <row r="473" spans="5:5">
      <c r="E473" s="5">
        <f>IF(OR(D473="",t=""),"",_xlfn.IFS(D473&gt;=t,"C",D473&gt;=t/2,"B",D473&gt;=t/4,"A",TRUE,"S"))</f>
        <v/>
      </c>
    </row>
    <row r="474" spans="5:5">
      <c r="E474" s="5">
        <f>IF(OR(D474="",t=""),"",_xlfn.IFS(D474&gt;=t,"C",D474&gt;=t/2,"B",D474&gt;=t/4,"A",TRUE,"S"))</f>
        <v/>
      </c>
    </row>
    <row r="475" spans="5:5">
      <c r="E475" s="5">
        <f>IF(OR(D475="",t=""),"",_xlfn.IFS(D475&gt;=t,"C",D475&gt;=t/2,"B",D475&gt;=t/4,"A",TRUE,"S"))</f>
        <v/>
      </c>
    </row>
    <row r="476" spans="5:5">
      <c r="E476" s="5">
        <f>IF(OR(D476="",t=""),"",_xlfn.IFS(D476&gt;=t,"C",D476&gt;=t/2,"B",D476&gt;=t/4,"A",TRUE,"S"))</f>
        <v/>
      </c>
    </row>
    <row r="477" spans="5:5">
      <c r="E477" s="5">
        <f>IF(OR(D477="",t=""),"",_xlfn.IFS(D477&gt;=t,"C",D477&gt;=t/2,"B",D477&gt;=t/4,"A",TRUE,"S"))</f>
        <v/>
      </c>
    </row>
    <row r="478" spans="5:5">
      <c r="E478" s="5">
        <f>IF(OR(D478="",t=""),"",_xlfn.IFS(D478&gt;=t,"C",D478&gt;=t/2,"B",D478&gt;=t/4,"A",TRUE,"S"))</f>
        <v/>
      </c>
    </row>
    <row r="479" spans="5:5">
      <c r="E479" s="5">
        <f>IF(OR(D479="",t=""),"",_xlfn.IFS(D479&gt;=t,"C",D479&gt;=t/2,"B",D479&gt;=t/4,"A",TRUE,"S"))</f>
        <v/>
      </c>
    </row>
    <row r="480" spans="5:5">
      <c r="E480" s="5">
        <f>IF(OR(D480="",t=""),"",_xlfn.IFS(D480&gt;=t,"C",D480&gt;=t/2,"B",D480&gt;=t/4,"A",TRUE,"S"))</f>
        <v/>
      </c>
    </row>
    <row r="481" spans="5:5">
      <c r="E481" s="5">
        <f>IF(OR(D481="",t=""),"",_xlfn.IFS(D481&gt;=t,"C",D481&gt;=t/2,"B",D481&gt;=t/4,"A",TRUE,"S"))</f>
        <v/>
      </c>
    </row>
    <row r="482" spans="5:5">
      <c r="E482" s="5">
        <f>IF(OR(D482="",t=""),"",_xlfn.IFS(D482&gt;=t,"C",D482&gt;=t/2,"B",D482&gt;=t/4,"A",TRUE,"S"))</f>
        <v/>
      </c>
    </row>
    <row r="483" spans="5:5">
      <c r="E483" s="5">
        <f>IF(OR(D483="",t=""),"",_xlfn.IFS(D483&gt;=t,"C",D483&gt;=t/2,"B",D483&gt;=t/4,"A",TRUE,"S"))</f>
        <v/>
      </c>
    </row>
    <row r="484" spans="5:5">
      <c r="E484" s="5">
        <f>IF(OR(D484="",t=""),"",_xlfn.IFS(D484&gt;=t,"C",D484&gt;=t/2,"B",D484&gt;=t/4,"A",TRUE,"S"))</f>
        <v/>
      </c>
    </row>
    <row r="485" spans="5:5">
      <c r="E485" s="5">
        <f>IF(OR(D485="",t=""),"",_xlfn.IFS(D485&gt;=t,"C",D485&gt;=t/2,"B",D485&gt;=t/4,"A",TRUE,"S"))</f>
        <v/>
      </c>
    </row>
    <row r="486" spans="5:5">
      <c r="E486" s="5">
        <f>IF(OR(D486="",t=""),"",_xlfn.IFS(D486&gt;=t,"C",D486&gt;=t/2,"B",D486&gt;=t/4,"A",TRUE,"S"))</f>
        <v/>
      </c>
    </row>
    <row r="487" spans="5:5">
      <c r="E487" s="5">
        <f>IF(OR(D487="",t=""),"",_xlfn.IFS(D487&gt;=t,"C",D487&gt;=t/2,"B",D487&gt;=t/4,"A",TRUE,"S"))</f>
        <v/>
      </c>
    </row>
    <row r="488" spans="5:5">
      <c r="E488" s="5">
        <f>IF(OR(D488="",t=""),"",_xlfn.IFS(D488&gt;=t,"C",D488&gt;=t/2,"B",D488&gt;=t/4,"A",TRUE,"S"))</f>
        <v/>
      </c>
    </row>
    <row r="489" spans="5:5">
      <c r="E489" s="5">
        <f>IF(OR(D489="",t=""),"",_xlfn.IFS(D489&gt;=t,"C",D489&gt;=t/2,"B",D489&gt;=t/4,"A",TRUE,"S"))</f>
        <v/>
      </c>
    </row>
    <row r="490" spans="5:5">
      <c r="E490" s="5">
        <f>IF(OR(D490="",t=""),"",_xlfn.IFS(D490&gt;=t,"C",D490&gt;=t/2,"B",D490&gt;=t/4,"A",TRUE,"S"))</f>
        <v/>
      </c>
    </row>
    <row r="491" spans="5:5">
      <c r="E491" s="5">
        <f>IF(OR(D491="",t=""),"",_xlfn.IFS(D491&gt;=t,"C",D491&gt;=t/2,"B",D491&gt;=t/4,"A",TRUE,"S"))</f>
        <v/>
      </c>
    </row>
    <row r="492" spans="5:5">
      <c r="E492" s="5">
        <f>IF(OR(D492="",t=""),"",_xlfn.IFS(D492&gt;=t,"C",D492&gt;=t/2,"B",D492&gt;=t/4,"A",TRUE,"S"))</f>
        <v/>
      </c>
    </row>
    <row r="493" spans="5:5">
      <c r="E493" s="5">
        <f>IF(OR(D493="",t=""),"",_xlfn.IFS(D493&gt;=t,"C",D493&gt;=t/2,"B",D493&gt;=t/4,"A",TRUE,"S"))</f>
        <v/>
      </c>
    </row>
    <row r="494" spans="5:5">
      <c r="E494" s="5">
        <f>IF(OR(D494="",t=""),"",_xlfn.IFS(D494&gt;=t,"C",D494&gt;=t/2,"B",D494&gt;=t/4,"A",TRUE,"S"))</f>
        <v/>
      </c>
    </row>
    <row r="495" spans="5:5">
      <c r="E495" s="5">
        <f>IF(OR(D495="",t=""),"",_xlfn.IFS(D495&gt;=t,"C",D495&gt;=t/2,"B",D495&gt;=t/4,"A",TRUE,"S"))</f>
        <v/>
      </c>
    </row>
    <row r="496" spans="5:5">
      <c r="E496" s="5">
        <f>IF(OR(D496="",t=""),"",_xlfn.IFS(D496&gt;=t,"C",D496&gt;=t/2,"B",D496&gt;=t/4,"A",TRUE,"S"))</f>
        <v/>
      </c>
    </row>
    <row r="497" spans="5:5">
      <c r="E497" s="5">
        <f>IF(OR(D497="",t=""),"",_xlfn.IFS(D497&gt;=t,"C",D497&gt;=t/2,"B",D497&gt;=t/4,"A",TRUE,"S"))</f>
        <v/>
      </c>
    </row>
    <row r="498" spans="5:5">
      <c r="E498" s="5">
        <f>IF(OR(D498="",t=""),"",_xlfn.IFS(D498&gt;=t,"C",D498&gt;=t/2,"B",D498&gt;=t/4,"A",TRUE,"S"))</f>
        <v/>
      </c>
    </row>
    <row r="499" spans="5:5">
      <c r="E499" s="5">
        <f>IF(OR(D499="",t=""),"",_xlfn.IFS(D499&gt;=t,"C",D499&gt;=t/2,"B",D499&gt;=t/4,"A",TRUE,"S"))</f>
        <v/>
      </c>
    </row>
    <row r="500" spans="5:5">
      <c r="E500" s="5">
        <f>IF(OR(D500="",t=""),"",_xlfn.IFS(D500&gt;=t,"C",D500&gt;=t/2,"B",D500&gt;=t/4,"A",TRUE,"S"))</f>
        <v/>
      </c>
    </row>
    <row r="501" spans="5:5">
      <c r="E501" s="5">
        <f>IF(OR(D501="",t=""),"",_xlfn.IFS(D501&gt;=t,"C",D501&gt;=t/2,"B",D501&gt;=t/4,"A",TRUE,"S"))</f>
        <v/>
      </c>
    </row>
    <row r="502" spans="5:5">
      <c r="E502" s="5">
        <f>IF(OR(D502="",t=""),"",_xlfn.IFS(D502&gt;=t,"C",D502&gt;=t/2,"B",D502&gt;=t/4,"A",TRUE,"S"))</f>
        <v/>
      </c>
    </row>
    <row r="503" spans="5:5">
      <c r="E503" s="5">
        <f>IF(OR(D503="",t=""),"",_xlfn.IFS(D503&gt;=t,"C",D503&gt;=t/2,"B",D503&gt;=t/4,"A",TRUE,"S"))</f>
        <v/>
      </c>
    </row>
    <row r="504" spans="5:5">
      <c r="E504" s="5">
        <f>IF(OR(D504="",t=""),"",_xlfn.IFS(D504&gt;=t,"C",D504&gt;=t/2,"B",D504&gt;=t/4,"A",TRUE,"S"))</f>
        <v/>
      </c>
    </row>
    <row r="505" spans="5:5">
      <c r="E505" s="5">
        <f>IF(OR(D505="",t=""),"",_xlfn.IFS(D505&gt;=t,"C",D505&gt;=t/2,"B",D505&gt;=t/4,"A",TRUE,"S"))</f>
        <v/>
      </c>
    </row>
    <row r="506" spans="5:5">
      <c r="E506" s="5">
        <f>IF(OR(D506="",t=""),"",_xlfn.IFS(D506&gt;=t,"C",D506&gt;=t/2,"B",D506&gt;=t/4,"A",TRUE,"S"))</f>
        <v/>
      </c>
    </row>
    <row r="507" spans="5:5">
      <c r="E507" s="5">
        <f>IF(OR(D507="",t=""),"",_xlfn.IFS(D507&gt;=t,"C",D507&gt;=t/2,"B",D507&gt;=t/4,"A",TRUE,"S"))</f>
        <v/>
      </c>
    </row>
    <row r="508" spans="5:5">
      <c r="E508" s="5">
        <f>IF(OR(D508="",t=""),"",_xlfn.IFS(D508&gt;=t,"C",D508&gt;=t/2,"B",D508&gt;=t/4,"A",TRUE,"S"))</f>
        <v/>
      </c>
    </row>
    <row r="509" spans="5:5">
      <c r="E509" s="5">
        <f>IF(OR(D509="",t=""),"",_xlfn.IFS(D509&gt;=t,"C",D509&gt;=t/2,"B",D509&gt;=t/4,"A",TRUE,"S"))</f>
        <v/>
      </c>
    </row>
    <row r="510" spans="5:5">
      <c r="E510" s="5">
        <f>IF(OR(D510="",t=""),"",_xlfn.IFS(D510&gt;=t,"C",D510&gt;=t/2,"B",D510&gt;=t/4,"A",TRUE,"S"))</f>
        <v/>
      </c>
    </row>
    <row r="511" spans="5:5">
      <c r="E511" s="5">
        <f>IF(OR(D511="",t=""),"",_xlfn.IFS(D511&gt;=t,"C",D511&gt;=t/2,"B",D511&gt;=t/4,"A",TRUE,"S"))</f>
        <v/>
      </c>
    </row>
    <row r="512" spans="5:5">
      <c r="E512" s="5">
        <f>IF(OR(D512="",t=""),"",_xlfn.IFS(D512&gt;=t,"C",D512&gt;=t/2,"B",D512&gt;=t/4,"A",TRUE,"S"))</f>
        <v/>
      </c>
    </row>
    <row r="513" spans="5:5">
      <c r="E513" s="5">
        <f>IF(OR(D513="",t=""),"",_xlfn.IFS(D513&gt;=t,"C",D513&gt;=t/2,"B",D513&gt;=t/4,"A",TRUE,"S"))</f>
        <v/>
      </c>
    </row>
    <row r="514" spans="5:5">
      <c r="E514" s="5">
        <f>IF(OR(D514="",t=""),"",_xlfn.IFS(D514&gt;=t,"C",D514&gt;=t/2,"B",D514&gt;=t/4,"A",TRUE,"S"))</f>
        <v/>
      </c>
    </row>
    <row r="515" spans="5:5">
      <c r="E515" s="5">
        <f>IF(OR(D515="",t=""),"",_xlfn.IFS(D515&gt;=t,"C",D515&gt;=t/2,"B",D515&gt;=t/4,"A",TRUE,"S"))</f>
        <v/>
      </c>
    </row>
    <row r="516" spans="5:5">
      <c r="E516" s="5">
        <f>IF(OR(D516="",t=""),"",_xlfn.IFS(D516&gt;=t,"C",D516&gt;=t/2,"B",D516&gt;=t/4,"A",TRUE,"S"))</f>
        <v/>
      </c>
    </row>
    <row r="517" spans="5:5">
      <c r="E517" s="5">
        <f>IF(OR(D517="",t=""),"",_xlfn.IFS(D517&gt;=t,"C",D517&gt;=t/2,"B",D517&gt;=t/4,"A",TRUE,"S"))</f>
        <v/>
      </c>
    </row>
    <row r="518" spans="5:5">
      <c r="E518" s="5">
        <f>IF(OR(D518="",t=""),"",_xlfn.IFS(D518&gt;=t,"C",D518&gt;=t/2,"B",D518&gt;=t/4,"A",TRUE,"S"))</f>
        <v/>
      </c>
    </row>
    <row r="519" spans="5:5">
      <c r="E519" s="5">
        <f>IF(OR(D519="",t=""),"",_xlfn.IFS(D519&gt;=t,"C",D519&gt;=t/2,"B",D519&gt;=t/4,"A",TRUE,"S"))</f>
        <v/>
      </c>
    </row>
    <row r="520" spans="5:5">
      <c r="E520" s="5">
        <f>IF(OR(D520="",t=""),"",_xlfn.IFS(D520&gt;=t,"C",D520&gt;=t/2,"B",D520&gt;=t/4,"A",TRUE,"S"))</f>
        <v/>
      </c>
    </row>
    <row r="521" spans="5:5">
      <c r="E521" s="5">
        <f>IF(OR(D521="",t=""),"",_xlfn.IFS(D521&gt;=t,"C",D521&gt;=t/2,"B",D521&gt;=t/4,"A",TRUE,"S"))</f>
        <v/>
      </c>
    </row>
    <row r="522" spans="5:5">
      <c r="E522" s="5">
        <f>IF(OR(D522="",t=""),"",_xlfn.IFS(D522&gt;=t,"C",D522&gt;=t/2,"B",D522&gt;=t/4,"A",TRUE,"S"))</f>
        <v/>
      </c>
    </row>
    <row r="523" spans="5:5">
      <c r="E523" s="5">
        <f>IF(OR(D523="",t=""),"",_xlfn.IFS(D523&gt;=t,"C",D523&gt;=t/2,"B",D523&gt;=t/4,"A",TRUE,"S"))</f>
        <v/>
      </c>
    </row>
    <row r="524" spans="5:5">
      <c r="E524" s="5">
        <f>IF(OR(D524="",t=""),"",_xlfn.IFS(D524&gt;=t,"C",D524&gt;=t/2,"B",D524&gt;=t/4,"A",TRUE,"S"))</f>
        <v/>
      </c>
    </row>
    <row r="525" spans="5:5">
      <c r="E525" s="5">
        <f>IF(OR(D525="",t=""),"",_xlfn.IFS(D525&gt;=t,"C",D525&gt;=t/2,"B",D525&gt;=t/4,"A",TRUE,"S"))</f>
        <v/>
      </c>
    </row>
    <row r="526" spans="5:5">
      <c r="E526" s="5">
        <f>IF(OR(D526="",t=""),"",_xlfn.IFS(D526&gt;=t,"C",D526&gt;=t/2,"B",D526&gt;=t/4,"A",TRUE,"S"))</f>
        <v/>
      </c>
    </row>
    <row r="527" spans="5:5">
      <c r="E527" s="5">
        <f>IF(OR(D527="",t=""),"",_xlfn.IFS(D527&gt;=t,"C",D527&gt;=t/2,"B",D527&gt;=t/4,"A",TRUE,"S"))</f>
        <v/>
      </c>
    </row>
    <row r="528" spans="5:5">
      <c r="E528" s="5">
        <f>IF(OR(D528="",t=""),"",_xlfn.IFS(D528&gt;=t,"C",D528&gt;=t/2,"B",D528&gt;=t/4,"A",TRUE,"S"))</f>
        <v/>
      </c>
    </row>
    <row r="529" spans="5:5">
      <c r="E529" s="5">
        <f>IF(OR(D529="",t=""),"",_xlfn.IFS(D529&gt;=t,"C",D529&gt;=t/2,"B",D529&gt;=t/4,"A",TRUE,"S"))</f>
        <v/>
      </c>
    </row>
    <row r="530" spans="5:5">
      <c r="E530" s="5">
        <f>IF(OR(D530="",t=""),"",_xlfn.IFS(D530&gt;=t,"C",D530&gt;=t/2,"B",D530&gt;=t/4,"A",TRUE,"S"))</f>
        <v/>
      </c>
    </row>
    <row r="531" spans="5:5">
      <c r="E531" s="5">
        <f>IF(OR(D531="",t=""),"",_xlfn.IFS(D531&gt;=t,"C",D531&gt;=t/2,"B",D531&gt;=t/4,"A",TRUE,"S"))</f>
        <v/>
      </c>
    </row>
    <row r="532" spans="5:5">
      <c r="E532" s="5">
        <f>IF(OR(D532="",t=""),"",_xlfn.IFS(D532&gt;=t,"C",D532&gt;=t/2,"B",D532&gt;=t/4,"A",TRUE,"S"))</f>
        <v/>
      </c>
    </row>
    <row r="533" spans="5:5">
      <c r="E533" s="5">
        <f>IF(OR(D533="",t=""),"",_xlfn.IFS(D533&gt;=t,"C",D533&gt;=t/2,"B",D533&gt;=t/4,"A",TRUE,"S"))</f>
        <v/>
      </c>
    </row>
    <row r="534" spans="5:5">
      <c r="E534" s="5">
        <f>IF(OR(D534="",t=""),"",_xlfn.IFS(D534&gt;=t,"C",D534&gt;=t/2,"B",D534&gt;=t/4,"A",TRUE,"S"))</f>
        <v/>
      </c>
    </row>
    <row r="535" spans="5:5">
      <c r="E535" s="5">
        <f>IF(OR(D535="",t=""),"",_xlfn.IFS(D535&gt;=t,"C",D535&gt;=t/2,"B",D535&gt;=t/4,"A",TRUE,"S"))</f>
        <v/>
      </c>
    </row>
    <row r="536" spans="5:5">
      <c r="E536" s="5">
        <f>IF(OR(D536="",t=""),"",_xlfn.IFS(D536&gt;=t,"C",D536&gt;=t/2,"B",D536&gt;=t/4,"A",TRUE,"S"))</f>
        <v/>
      </c>
    </row>
    <row r="537" spans="5:5">
      <c r="E537" s="5">
        <f>IF(OR(D537="",t=""),"",_xlfn.IFS(D537&gt;=t,"C",D537&gt;=t/2,"B",D537&gt;=t/4,"A",TRUE,"S"))</f>
        <v/>
      </c>
    </row>
    <row r="538" spans="5:5">
      <c r="E538" s="5">
        <f>IF(OR(D538="",t=""),"",_xlfn.IFS(D538&gt;=t,"C",D538&gt;=t/2,"B",D538&gt;=t/4,"A",TRUE,"S"))</f>
        <v/>
      </c>
    </row>
    <row r="539" spans="5:5">
      <c r="E539" s="5">
        <f>IF(OR(D539="",t=""),"",_xlfn.IFS(D539&gt;=t,"C",D539&gt;=t/2,"B",D539&gt;=t/4,"A",TRUE,"S"))</f>
        <v/>
      </c>
    </row>
    <row r="540" spans="5:5">
      <c r="E540" s="5">
        <f>IF(OR(D540="",t=""),"",_xlfn.IFS(D540&gt;=t,"C",D540&gt;=t/2,"B",D540&gt;=t/4,"A",TRUE,"S"))</f>
        <v/>
      </c>
    </row>
    <row r="541" spans="5:5">
      <c r="E541" s="5">
        <f>IF(OR(D541="",t=""),"",_xlfn.IFS(D541&gt;=t,"C",D541&gt;=t/2,"B",D541&gt;=t/4,"A",TRUE,"S"))</f>
        <v/>
      </c>
    </row>
    <row r="542" spans="5:5">
      <c r="E542" s="5">
        <f>IF(OR(D542="",t=""),"",_xlfn.IFS(D542&gt;=t,"C",D542&gt;=t/2,"B",D542&gt;=t/4,"A",TRUE,"S"))</f>
        <v/>
      </c>
    </row>
    <row r="543" spans="5:5">
      <c r="E543" s="5">
        <f>IF(OR(D543="",t=""),"",_xlfn.IFS(D543&gt;=t,"C",D543&gt;=t/2,"B",D543&gt;=t/4,"A",TRUE,"S"))</f>
        <v/>
      </c>
    </row>
    <row r="544" spans="5:5">
      <c r="E544" s="5">
        <f>IF(OR(D544="",t=""),"",_xlfn.IFS(D544&gt;=t,"C",D544&gt;=t/2,"B",D544&gt;=t/4,"A",TRUE,"S"))</f>
        <v/>
      </c>
    </row>
    <row r="545" spans="5:5">
      <c r="E545" s="5">
        <f>IF(OR(D545="",t=""),"",_xlfn.IFS(D545&gt;=t,"C",D545&gt;=t/2,"B",D545&gt;=t/4,"A",TRUE,"S"))</f>
        <v/>
      </c>
    </row>
    <row r="546" spans="5:5">
      <c r="E546" s="5">
        <f>IF(OR(D546="",t=""),"",_xlfn.IFS(D546&gt;=t,"C",D546&gt;=t/2,"B",D546&gt;=t/4,"A",TRUE,"S"))</f>
        <v/>
      </c>
    </row>
    <row r="547" spans="5:5">
      <c r="E547" s="5">
        <f>IF(OR(D547="",t=""),"",_xlfn.IFS(D547&gt;=t,"C",D547&gt;=t/2,"B",D547&gt;=t/4,"A",TRUE,"S"))</f>
        <v/>
      </c>
    </row>
    <row r="548" spans="5:5">
      <c r="E548" s="5">
        <f>IF(OR(D548="",t=""),"",_xlfn.IFS(D548&gt;=t,"C",D548&gt;=t/2,"B",D548&gt;=t/4,"A",TRUE,"S"))</f>
        <v/>
      </c>
    </row>
    <row r="549" spans="5:5">
      <c r="E549" s="5">
        <f>IF(OR(D549="",t=""),"",_xlfn.IFS(D549&gt;=t,"C",D549&gt;=t/2,"B",D549&gt;=t/4,"A",TRUE,"S"))</f>
        <v/>
      </c>
    </row>
    <row r="550" spans="5:5">
      <c r="E550" s="5">
        <f>IF(OR(D550="",t=""),"",_xlfn.IFS(D550&gt;=t,"C",D550&gt;=t/2,"B",D550&gt;=t/4,"A",TRUE,"S"))</f>
        <v/>
      </c>
    </row>
    <row r="551" spans="5:5">
      <c r="E551" s="5">
        <f>IF(OR(D551="",t=""),"",_xlfn.IFS(D551&gt;=t,"C",D551&gt;=t/2,"B",D551&gt;=t/4,"A",TRUE,"S"))</f>
        <v/>
      </c>
    </row>
    <row r="552" spans="5:5">
      <c r="E552" s="5">
        <f>IF(OR(D552="",t=""),"",_xlfn.IFS(D552&gt;=t,"C",D552&gt;=t/2,"B",D552&gt;=t/4,"A",TRUE,"S"))</f>
        <v/>
      </c>
    </row>
    <row r="553" spans="5:5">
      <c r="E553" s="5">
        <f>IF(OR(D553="",t=""),"",_xlfn.IFS(D553&gt;=t,"C",D553&gt;=t/2,"B",D553&gt;=t/4,"A",TRUE,"S"))</f>
        <v/>
      </c>
    </row>
    <row r="554" spans="5:5">
      <c r="E554" s="5">
        <f>IF(OR(D554="",t=""),"",_xlfn.IFS(D554&gt;=t,"C",D554&gt;=t/2,"B",D554&gt;=t/4,"A",TRUE,"S"))</f>
        <v/>
      </c>
    </row>
    <row r="555" spans="5:5">
      <c r="E555" s="5">
        <f>IF(OR(D555="",t=""),"",_xlfn.IFS(D555&gt;=t,"C",D555&gt;=t/2,"B",D555&gt;=t/4,"A",TRUE,"S"))</f>
        <v/>
      </c>
    </row>
    <row r="556" spans="5:5">
      <c r="E556" s="5">
        <f>IF(OR(D556="",t=""),"",_xlfn.IFS(D556&gt;=t,"C",D556&gt;=t/2,"B",D556&gt;=t/4,"A",TRUE,"S"))</f>
        <v/>
      </c>
    </row>
    <row r="557" spans="5:5">
      <c r="E557" s="5">
        <f>IF(OR(D557="",t=""),"",_xlfn.IFS(D557&gt;=t,"C",D557&gt;=t/2,"B",D557&gt;=t/4,"A",TRUE,"S"))</f>
        <v/>
      </c>
    </row>
    <row r="558" spans="5:5">
      <c r="E558" s="5">
        <f>IF(OR(D558="",t=""),"",_xlfn.IFS(D558&gt;=t,"C",D558&gt;=t/2,"B",D558&gt;=t/4,"A",TRUE,"S"))</f>
        <v/>
      </c>
    </row>
    <row r="559" spans="5:5">
      <c r="E559" s="5">
        <f>IF(OR(D559="",t=""),"",_xlfn.IFS(D559&gt;=t,"C",D559&gt;=t/2,"B",D559&gt;=t/4,"A",TRUE,"S"))</f>
        <v/>
      </c>
    </row>
    <row r="560" spans="5:5">
      <c r="E560" s="5">
        <f>IF(OR(D560="",t=""),"",_xlfn.IFS(D560&gt;=t,"C",D560&gt;=t/2,"B",D560&gt;=t/4,"A",TRUE,"S"))</f>
        <v/>
      </c>
    </row>
    <row r="561" spans="5:5">
      <c r="E561" s="5">
        <f>IF(OR(D561="",t=""),"",_xlfn.IFS(D561&gt;=t,"C",D561&gt;=t/2,"B",D561&gt;=t/4,"A",TRUE,"S"))</f>
        <v/>
      </c>
    </row>
    <row r="562" spans="5:5">
      <c r="E562" s="5">
        <f>IF(OR(D562="",t=""),"",_xlfn.IFS(D562&gt;=t,"C",D562&gt;=t/2,"B",D562&gt;=t/4,"A",TRUE,"S"))</f>
        <v/>
      </c>
    </row>
    <row r="563" spans="5:5">
      <c r="E563" s="5">
        <f>IF(OR(D563="",t=""),"",_xlfn.IFS(D563&gt;=t,"C",D563&gt;=t/2,"B",D563&gt;=t/4,"A",TRUE,"S"))</f>
        <v/>
      </c>
    </row>
    <row r="564" spans="5:5">
      <c r="E564" s="5">
        <f>IF(OR(D564="",t=""),"",_xlfn.IFS(D564&gt;=t,"C",D564&gt;=t/2,"B",D564&gt;=t/4,"A",TRUE,"S"))</f>
        <v/>
      </c>
    </row>
    <row r="565" spans="5:5">
      <c r="E565" s="5">
        <f>IF(OR(D565="",t=""),"",_xlfn.IFS(D565&gt;=t,"C",D565&gt;=t/2,"B",D565&gt;=t/4,"A",TRUE,"S"))</f>
        <v/>
      </c>
    </row>
    <row r="566" spans="5:5">
      <c r="E566" s="5">
        <f>IF(OR(D566="",t=""),"",_xlfn.IFS(D566&gt;=t,"C",D566&gt;=t/2,"B",D566&gt;=t/4,"A",TRUE,"S"))</f>
        <v/>
      </c>
    </row>
    <row r="567" spans="5:5">
      <c r="E567" s="5">
        <f>IF(OR(D567="",t=""),"",_xlfn.IFS(D567&gt;=t,"C",D567&gt;=t/2,"B",D567&gt;=t/4,"A",TRUE,"S"))</f>
        <v/>
      </c>
    </row>
    <row r="568" spans="5:5">
      <c r="E568" s="5">
        <f>IF(OR(D568="",t=""),"",_xlfn.IFS(D568&gt;=t,"C",D568&gt;=t/2,"B",D568&gt;=t/4,"A",TRUE,"S"))</f>
        <v/>
      </c>
    </row>
    <row r="569" spans="5:5">
      <c r="E569" s="5">
        <f>IF(OR(D569="",t=""),"",_xlfn.IFS(D569&gt;=t,"C",D569&gt;=t/2,"B",D569&gt;=t/4,"A",TRUE,"S"))</f>
        <v/>
      </c>
    </row>
    <row r="570" spans="5:5">
      <c r="E570" s="5">
        <f>IF(OR(D570="",t=""),"",_xlfn.IFS(D570&gt;=t,"C",D570&gt;=t/2,"B",D570&gt;=t/4,"A",TRUE,"S"))</f>
        <v/>
      </c>
    </row>
    <row r="571" spans="5:5">
      <c r="E571" s="5">
        <f>IF(OR(D571="",t=""),"",_xlfn.IFS(D571&gt;=t,"C",D571&gt;=t/2,"B",D571&gt;=t/4,"A",TRUE,"S"))</f>
        <v/>
      </c>
    </row>
    <row r="572" spans="5:5">
      <c r="E572" s="5">
        <f>IF(OR(D572="",t=""),"",_xlfn.IFS(D572&gt;=t,"C",D572&gt;=t/2,"B",D572&gt;=t/4,"A",TRUE,"S"))</f>
        <v/>
      </c>
    </row>
    <row r="573" spans="5:5">
      <c r="E573" s="5">
        <f>IF(OR(D573="",t=""),"",_xlfn.IFS(D573&gt;=t,"C",D573&gt;=t/2,"B",D573&gt;=t/4,"A",TRUE,"S"))</f>
        <v/>
      </c>
    </row>
    <row r="574" spans="5:5">
      <c r="E574" s="5">
        <f>IF(OR(D574="",t=""),"",_xlfn.IFS(D574&gt;=t,"C",D574&gt;=t/2,"B",D574&gt;=t/4,"A",TRUE,"S"))</f>
        <v/>
      </c>
    </row>
    <row r="575" spans="5:5">
      <c r="E575" s="5">
        <f>IF(OR(D575="",t=""),"",_xlfn.IFS(D575&gt;=t,"C",D575&gt;=t/2,"B",D575&gt;=t/4,"A",TRUE,"S"))</f>
        <v/>
      </c>
    </row>
    <row r="576" spans="5:5">
      <c r="E576" s="5">
        <f>IF(OR(D576="",t=""),"",_xlfn.IFS(D576&gt;=t,"C",D576&gt;=t/2,"B",D576&gt;=t/4,"A",TRUE,"S"))</f>
        <v/>
      </c>
    </row>
    <row r="577" spans="5:5">
      <c r="E577" s="5">
        <f>IF(OR(D577="",t=""),"",_xlfn.IFS(D577&gt;=t,"C",D577&gt;=t/2,"B",D577&gt;=t/4,"A",TRUE,"S"))</f>
        <v/>
      </c>
    </row>
    <row r="578" spans="5:5">
      <c r="E578" s="5">
        <f>IF(OR(D578="",t=""),"",_xlfn.IFS(D578&gt;=t,"C",D578&gt;=t/2,"B",D578&gt;=t/4,"A",TRUE,"S"))</f>
        <v/>
      </c>
    </row>
    <row r="579" spans="5:5">
      <c r="E579" s="5">
        <f>IF(OR(D579="",t=""),"",_xlfn.IFS(D579&gt;=t,"C",D579&gt;=t/2,"B",D579&gt;=t/4,"A",TRUE,"S"))</f>
        <v/>
      </c>
    </row>
    <row r="580" spans="5:5">
      <c r="E580" s="5">
        <f>IF(OR(D580="",t=""),"",_xlfn.IFS(D580&gt;=t,"C",D580&gt;=t/2,"B",D580&gt;=t/4,"A",TRUE,"S"))</f>
        <v/>
      </c>
    </row>
    <row r="581" spans="5:5">
      <c r="E581" s="5">
        <f>IF(OR(D581="",t=""),"",_xlfn.IFS(D581&gt;=t,"C",D581&gt;=t/2,"B",D581&gt;=t/4,"A",TRUE,"S"))</f>
        <v/>
      </c>
    </row>
    <row r="582" spans="5:5">
      <c r="E582" s="5">
        <f>IF(OR(D582="",t=""),"",_xlfn.IFS(D582&gt;=t,"C",D582&gt;=t/2,"B",D582&gt;=t/4,"A",TRUE,"S"))</f>
        <v/>
      </c>
    </row>
    <row r="583" spans="5:5">
      <c r="E583" s="5">
        <f>IF(OR(D583="",t=""),"",_xlfn.IFS(D583&gt;=t,"C",D583&gt;=t/2,"B",D583&gt;=t/4,"A",TRUE,"S"))</f>
        <v/>
      </c>
    </row>
    <row r="584" spans="5:5">
      <c r="E584" s="5">
        <f>IF(OR(D584="",t=""),"",_xlfn.IFS(D584&gt;=t,"C",D584&gt;=t/2,"B",D584&gt;=t/4,"A",TRUE,"S"))</f>
        <v/>
      </c>
    </row>
    <row r="585" spans="5:5">
      <c r="E585" s="5">
        <f>IF(OR(D585="",t=""),"",_xlfn.IFS(D585&gt;=t,"C",D585&gt;=t/2,"B",D585&gt;=t/4,"A",TRUE,"S"))</f>
        <v/>
      </c>
    </row>
    <row r="586" spans="5:5">
      <c r="E586" s="5">
        <f>IF(OR(D586="",t=""),"",_xlfn.IFS(D586&gt;=t,"C",D586&gt;=t/2,"B",D586&gt;=t/4,"A",TRUE,"S"))</f>
        <v/>
      </c>
    </row>
    <row r="587" spans="5:5">
      <c r="E587" s="5">
        <f>IF(OR(D587="",t=""),"",_xlfn.IFS(D587&gt;=t,"C",D587&gt;=t/2,"B",D587&gt;=t/4,"A",TRUE,"S"))</f>
        <v/>
      </c>
    </row>
    <row r="588" spans="5:5">
      <c r="E588" s="5">
        <f>IF(OR(D588="",t=""),"",_xlfn.IFS(D588&gt;=t,"C",D588&gt;=t/2,"B",D588&gt;=t/4,"A",TRUE,"S"))</f>
        <v/>
      </c>
    </row>
    <row r="589" spans="5:5">
      <c r="E589" s="5">
        <f>IF(OR(D589="",t=""),"",_xlfn.IFS(D589&gt;=t,"C",D589&gt;=t/2,"B",D589&gt;=t/4,"A",TRUE,"S"))</f>
        <v/>
      </c>
    </row>
    <row r="590" spans="5:5">
      <c r="E590" s="5">
        <f>IF(OR(D590="",t=""),"",_xlfn.IFS(D590&gt;=t,"C",D590&gt;=t/2,"B",D590&gt;=t/4,"A",TRUE,"S"))</f>
        <v/>
      </c>
    </row>
    <row r="591" spans="5:5">
      <c r="E591" s="5">
        <f>IF(OR(D591="",t=""),"",_xlfn.IFS(D591&gt;=t,"C",D591&gt;=t/2,"B",D591&gt;=t/4,"A",TRUE,"S"))</f>
        <v/>
      </c>
    </row>
    <row r="592" spans="5:5">
      <c r="E592" s="5">
        <f>IF(OR(D592="",t=""),"",_xlfn.IFS(D592&gt;=t,"C",D592&gt;=t/2,"B",D592&gt;=t/4,"A",TRUE,"S"))</f>
        <v/>
      </c>
    </row>
    <row r="593" spans="5:5">
      <c r="E593" s="5">
        <f>IF(OR(D593="",t=""),"",_xlfn.IFS(D593&gt;=t,"C",D593&gt;=t/2,"B",D593&gt;=t/4,"A",TRUE,"S"))</f>
        <v/>
      </c>
    </row>
    <row r="594" spans="5:5">
      <c r="E594" s="5">
        <f>IF(OR(D594="",t=""),"",_xlfn.IFS(D594&gt;=t,"C",D594&gt;=t/2,"B",D594&gt;=t/4,"A",TRUE,"S"))</f>
        <v/>
      </c>
    </row>
    <row r="595" spans="5:5">
      <c r="E595" s="5">
        <f>IF(OR(D595="",t=""),"",_xlfn.IFS(D595&gt;=t,"C",D595&gt;=t/2,"B",D595&gt;=t/4,"A",TRUE,"S"))</f>
        <v/>
      </c>
    </row>
    <row r="596" spans="5:5">
      <c r="E596" s="5">
        <f>IF(OR(D596="",t=""),"",_xlfn.IFS(D596&gt;=t,"C",D596&gt;=t/2,"B",D596&gt;=t/4,"A",TRUE,"S"))</f>
        <v/>
      </c>
    </row>
    <row r="597" spans="5:5">
      <c r="E597" s="5">
        <f>IF(OR(D597="",t=""),"",_xlfn.IFS(D597&gt;=t,"C",D597&gt;=t/2,"B",D597&gt;=t/4,"A",TRUE,"S"))</f>
        <v/>
      </c>
    </row>
    <row r="598" spans="5:5">
      <c r="E598" s="5">
        <f>IF(OR(D598="",t=""),"",_xlfn.IFS(D598&gt;=t,"C",D598&gt;=t/2,"B",D598&gt;=t/4,"A",TRUE,"S"))</f>
        <v/>
      </c>
    </row>
    <row r="599" spans="5:5">
      <c r="E599" s="5">
        <f>IF(OR(D599="",t=""),"",_xlfn.IFS(D599&gt;=t,"C",D599&gt;=t/2,"B",D599&gt;=t/4,"A",TRUE,"S"))</f>
        <v/>
      </c>
    </row>
    <row r="600" spans="5:5">
      <c r="E600" s="5">
        <f>IF(OR(D600="",t=""),"",_xlfn.IFS(D600&gt;=t,"C",D600&gt;=t/2,"B",D600&gt;=t/4,"A",TRUE,"S"))</f>
        <v/>
      </c>
    </row>
    <row r="601" spans="5:5">
      <c r="E601" s="5">
        <f>IF(OR(D601="",t=""),"",_xlfn.IFS(D601&gt;=t,"C",D601&gt;=t/2,"B",D601&gt;=t/4,"A",TRUE,"S"))</f>
        <v/>
      </c>
    </row>
    <row r="602" spans="5:5">
      <c r="E602" s="5">
        <f>IF(OR(D602="",t=""),"",_xlfn.IFS(D602&gt;=t,"C",D602&gt;=t/2,"B",D602&gt;=t/4,"A",TRUE,"S"))</f>
        <v/>
      </c>
    </row>
    <row r="603" spans="5:5">
      <c r="E603" s="5">
        <f>IF(OR(D603="",t=""),"",_xlfn.IFS(D603&gt;=t,"C",D603&gt;=t/2,"B",D603&gt;=t/4,"A",TRUE,"S"))</f>
        <v/>
      </c>
    </row>
    <row r="604" spans="5:5">
      <c r="E604" s="5">
        <f>IF(OR(D604="",t=""),"",_xlfn.IFS(D604&gt;=t,"C",D604&gt;=t/2,"B",D604&gt;=t/4,"A",TRUE,"S"))</f>
        <v/>
      </c>
    </row>
    <row r="605" spans="5:5">
      <c r="E605" s="5">
        <f>IF(OR(D605="",t=""),"",_xlfn.IFS(D605&gt;=t,"C",D605&gt;=t/2,"B",D605&gt;=t/4,"A",TRUE,"S"))</f>
        <v/>
      </c>
    </row>
    <row r="606" spans="5:5">
      <c r="E606" s="5">
        <f>IF(OR(D606="",t=""),"",_xlfn.IFS(D606&gt;=t,"C",D606&gt;=t/2,"B",D606&gt;=t/4,"A",TRUE,"S"))</f>
        <v/>
      </c>
    </row>
    <row r="607" spans="5:5">
      <c r="E607" s="5">
        <f>IF(OR(D607="",t=""),"",_xlfn.IFS(D607&gt;=t,"C",D607&gt;=t/2,"B",D607&gt;=t/4,"A",TRUE,"S"))</f>
        <v/>
      </c>
    </row>
    <row r="608" spans="5:5">
      <c r="E608" s="5">
        <f>IF(OR(D608="",t=""),"",_xlfn.IFS(D608&gt;=t,"C",D608&gt;=t/2,"B",D608&gt;=t/4,"A",TRUE,"S"))</f>
        <v/>
      </c>
    </row>
    <row r="609" spans="5:5">
      <c r="E609" s="5">
        <f>IF(OR(D609="",t=""),"",_xlfn.IFS(D609&gt;=t,"C",D609&gt;=t/2,"B",D609&gt;=t/4,"A",TRUE,"S"))</f>
        <v/>
      </c>
    </row>
    <row r="610" spans="5:5">
      <c r="E610" s="5">
        <f>IF(OR(D610="",t=""),"",_xlfn.IFS(D610&gt;=t,"C",D610&gt;=t/2,"B",D610&gt;=t/4,"A",TRUE,"S"))</f>
        <v/>
      </c>
    </row>
    <row r="611" spans="5:5">
      <c r="E611" s="5">
        <f>IF(OR(D611="",t=""),"",_xlfn.IFS(D611&gt;=t,"C",D611&gt;=t/2,"B",D611&gt;=t/4,"A",TRUE,"S"))</f>
        <v/>
      </c>
    </row>
    <row r="612" spans="5:5">
      <c r="E612" s="5">
        <f>IF(OR(D612="",t=""),"",_xlfn.IFS(D612&gt;=t,"C",D612&gt;=t/2,"B",D612&gt;=t/4,"A",TRUE,"S"))</f>
        <v/>
      </c>
    </row>
    <row r="613" spans="5:5">
      <c r="E613" s="5">
        <f>IF(OR(D613="",t=""),"",_xlfn.IFS(D613&gt;=t,"C",D613&gt;=t/2,"B",D613&gt;=t/4,"A",TRUE,"S"))</f>
        <v/>
      </c>
    </row>
    <row r="614" spans="5:5">
      <c r="E614" s="5">
        <f>IF(OR(D614="",t=""),"",_xlfn.IFS(D614&gt;=t,"C",D614&gt;=t/2,"B",D614&gt;=t/4,"A",TRUE,"S"))</f>
        <v/>
      </c>
    </row>
    <row r="615" spans="5:5">
      <c r="E615" s="5">
        <f>IF(OR(D615="",t=""),"",_xlfn.IFS(D615&gt;=t,"C",D615&gt;=t/2,"B",D615&gt;=t/4,"A",TRUE,"S"))</f>
        <v/>
      </c>
    </row>
    <row r="616" spans="5:5">
      <c r="E616" s="5">
        <f>IF(OR(D616="",t=""),"",_xlfn.IFS(D616&gt;=t,"C",D616&gt;=t/2,"B",D616&gt;=t/4,"A",TRUE,"S"))</f>
        <v/>
      </c>
    </row>
    <row r="617" spans="5:5">
      <c r="E617" s="5">
        <f>IF(OR(D617="",t=""),"",_xlfn.IFS(D617&gt;=t,"C",D617&gt;=t/2,"B",D617&gt;=t/4,"A",TRUE,"S"))</f>
        <v/>
      </c>
    </row>
    <row r="618" spans="5:5">
      <c r="E618" s="5">
        <f>IF(OR(D618="",t=""),"",_xlfn.IFS(D618&gt;=t,"C",D618&gt;=t/2,"B",D618&gt;=t/4,"A",TRUE,"S"))</f>
        <v/>
      </c>
    </row>
    <row r="619" spans="5:5">
      <c r="E619" s="5">
        <f>IF(OR(D619="",t=""),"",_xlfn.IFS(D619&gt;=t,"C",D619&gt;=t/2,"B",D619&gt;=t/4,"A",TRUE,"S"))</f>
        <v/>
      </c>
    </row>
    <row r="620" spans="5:5">
      <c r="E620" s="5">
        <f>IF(OR(D620="",t=""),"",_xlfn.IFS(D620&gt;=t,"C",D620&gt;=t/2,"B",D620&gt;=t/4,"A",TRUE,"S"))</f>
        <v/>
      </c>
    </row>
    <row r="621" spans="5:5">
      <c r="E621" s="5">
        <f>IF(OR(D621="",t=""),"",_xlfn.IFS(D621&gt;=t,"C",D621&gt;=t/2,"B",D621&gt;=t/4,"A",TRUE,"S"))</f>
        <v/>
      </c>
    </row>
    <row r="622" spans="5:5">
      <c r="E622" s="5">
        <f>IF(OR(D622="",t=""),"",_xlfn.IFS(D622&gt;=t,"C",D622&gt;=t/2,"B",D622&gt;=t/4,"A",TRUE,"S"))</f>
        <v/>
      </c>
    </row>
    <row r="623" spans="5:5">
      <c r="E623" s="5">
        <f>IF(OR(D623="",t=""),"",_xlfn.IFS(D623&gt;=t,"C",D623&gt;=t/2,"B",D623&gt;=t/4,"A",TRUE,"S"))</f>
        <v/>
      </c>
    </row>
    <row r="624" spans="5:5">
      <c r="E624" s="5">
        <f>IF(OR(D624="",t=""),"",_xlfn.IFS(D624&gt;=t,"C",D624&gt;=t/2,"B",D624&gt;=t/4,"A",TRUE,"S"))</f>
        <v/>
      </c>
    </row>
    <row r="625" spans="5:5">
      <c r="E625" s="5">
        <f>IF(OR(D625="",t=""),"",_xlfn.IFS(D625&gt;=t,"C",D625&gt;=t/2,"B",D625&gt;=t/4,"A",TRUE,"S"))</f>
        <v/>
      </c>
    </row>
    <row r="626" spans="5:5">
      <c r="E626" s="5">
        <f>IF(OR(D626="",t=""),"",_xlfn.IFS(D626&gt;=t,"C",D626&gt;=t/2,"B",D626&gt;=t/4,"A",TRUE,"S"))</f>
        <v/>
      </c>
    </row>
    <row r="627" spans="5:5">
      <c r="E627" s="5">
        <f>IF(OR(D627="",t=""),"",_xlfn.IFS(D627&gt;=t,"C",D627&gt;=t/2,"B",D627&gt;=t/4,"A",TRUE,"S"))</f>
        <v/>
      </c>
    </row>
    <row r="628" spans="5:5">
      <c r="E628" s="5">
        <f>IF(OR(D628="",t=""),"",_xlfn.IFS(D628&gt;=t,"C",D628&gt;=t/2,"B",D628&gt;=t/4,"A",TRUE,"S"))</f>
        <v/>
      </c>
    </row>
    <row r="629" spans="5:5">
      <c r="E629" s="5">
        <f>IF(OR(D629="",t=""),"",_xlfn.IFS(D629&gt;=t,"C",D629&gt;=t/2,"B",D629&gt;=t/4,"A",TRUE,"S"))</f>
        <v/>
      </c>
    </row>
    <row r="630" spans="5:5">
      <c r="E630" s="5">
        <f>IF(OR(D630="",t=""),"",_xlfn.IFS(D630&gt;=t,"C",D630&gt;=t/2,"B",D630&gt;=t/4,"A",TRUE,"S"))</f>
        <v/>
      </c>
    </row>
    <row r="631" spans="5:5">
      <c r="E631" s="5">
        <f>IF(OR(D631="",t=""),"",_xlfn.IFS(D631&gt;=t,"C",D631&gt;=t/2,"B",D631&gt;=t/4,"A",TRUE,"S"))</f>
        <v/>
      </c>
    </row>
    <row r="632" spans="5:5">
      <c r="E632" s="5">
        <f>IF(OR(D632="",t=""),"",_xlfn.IFS(D632&gt;=t,"C",D632&gt;=t/2,"B",D632&gt;=t/4,"A",TRUE,"S"))</f>
        <v/>
      </c>
    </row>
    <row r="633" spans="5:5">
      <c r="E633" s="5">
        <f>IF(OR(D633="",t=""),"",_xlfn.IFS(D633&gt;=t,"C",D633&gt;=t/2,"B",D633&gt;=t/4,"A",TRUE,"S"))</f>
        <v/>
      </c>
    </row>
    <row r="634" spans="5:5">
      <c r="E634" s="5">
        <f>IF(OR(D634="",t=""),"",_xlfn.IFS(D634&gt;=t,"C",D634&gt;=t/2,"B",D634&gt;=t/4,"A",TRUE,"S"))</f>
        <v/>
      </c>
    </row>
    <row r="635" spans="5:5">
      <c r="E635" s="5">
        <f>IF(OR(D635="",t=""),"",_xlfn.IFS(D635&gt;=t,"C",D635&gt;=t/2,"B",D635&gt;=t/4,"A",TRUE,"S"))</f>
        <v/>
      </c>
    </row>
    <row r="636" spans="5:5">
      <c r="E636" s="5">
        <f>IF(OR(D636="",t=""),"",_xlfn.IFS(D636&gt;=t,"C",D636&gt;=t/2,"B",D636&gt;=t/4,"A",TRUE,"S"))</f>
        <v/>
      </c>
    </row>
    <row r="637" spans="5:5">
      <c r="E637" s="5">
        <f>IF(OR(D637="",t=""),"",_xlfn.IFS(D637&gt;=t,"C",D637&gt;=t/2,"B",D637&gt;=t/4,"A",TRUE,"S"))</f>
        <v/>
      </c>
    </row>
    <row r="638" spans="5:5">
      <c r="E638" s="5">
        <f>IF(OR(D638="",t=""),"",_xlfn.IFS(D638&gt;=t,"C",D638&gt;=t/2,"B",D638&gt;=t/4,"A",TRUE,"S"))</f>
        <v/>
      </c>
    </row>
    <row r="639" spans="5:5">
      <c r="E639" s="5">
        <f>IF(OR(D639="",t=""),"",_xlfn.IFS(D639&gt;=t,"C",D639&gt;=t/2,"B",D639&gt;=t/4,"A",TRUE,"S"))</f>
        <v/>
      </c>
    </row>
    <row r="640" spans="5:5">
      <c r="E640" s="5">
        <f>IF(OR(D640="",t=""),"",_xlfn.IFS(D640&gt;=t,"C",D640&gt;=t/2,"B",D640&gt;=t/4,"A",TRUE,"S"))</f>
        <v/>
      </c>
    </row>
    <row r="641" spans="5:5">
      <c r="E641" s="5">
        <f>IF(OR(D641="",t=""),"",_xlfn.IFS(D641&gt;=t,"C",D641&gt;=t/2,"B",D641&gt;=t/4,"A",TRUE,"S"))</f>
        <v/>
      </c>
    </row>
    <row r="642" spans="5:5">
      <c r="E642" s="5">
        <f>IF(OR(D642="",t=""),"",_xlfn.IFS(D642&gt;=t,"C",D642&gt;=t/2,"B",D642&gt;=t/4,"A",TRUE,"S"))</f>
        <v/>
      </c>
    </row>
    <row r="643" spans="5:5">
      <c r="E643" s="5">
        <f>IF(OR(D643="",t=""),"",_xlfn.IFS(D643&gt;=t,"C",D643&gt;=t/2,"B",D643&gt;=t/4,"A",TRUE,"S"))</f>
        <v/>
      </c>
    </row>
    <row r="644" spans="5:5">
      <c r="E644" s="5">
        <f>IF(OR(D644="",t=""),"",_xlfn.IFS(D644&gt;=t,"C",D644&gt;=t/2,"B",D644&gt;=t/4,"A",TRUE,"S"))</f>
        <v/>
      </c>
    </row>
    <row r="645" spans="5:5">
      <c r="E645" s="5">
        <f>IF(OR(D645="",t=""),"",_xlfn.IFS(D645&gt;=t,"C",D645&gt;=t/2,"B",D645&gt;=t/4,"A",TRUE,"S"))</f>
        <v/>
      </c>
    </row>
    <row r="646" spans="5:5">
      <c r="E646" s="5">
        <f>IF(OR(D646="",t=""),"",_xlfn.IFS(D646&gt;=t,"C",D646&gt;=t/2,"B",D646&gt;=t/4,"A",TRUE,"S"))</f>
        <v/>
      </c>
    </row>
    <row r="647" spans="5:5">
      <c r="E647" s="5">
        <f>IF(OR(D647="",t=""),"",_xlfn.IFS(D647&gt;=t,"C",D647&gt;=t/2,"B",D647&gt;=t/4,"A",TRUE,"S"))</f>
        <v/>
      </c>
    </row>
    <row r="648" spans="5:5">
      <c r="E648" s="5">
        <f>IF(OR(D648="",t=""),"",_xlfn.IFS(D648&gt;=t,"C",D648&gt;=t/2,"B",D648&gt;=t/4,"A",TRUE,"S"))</f>
        <v/>
      </c>
    </row>
    <row r="649" spans="5:5">
      <c r="E649" s="5">
        <f>IF(OR(D649="",t=""),"",_xlfn.IFS(D649&gt;=t,"C",D649&gt;=t/2,"B",D649&gt;=t/4,"A",TRUE,"S"))</f>
        <v/>
      </c>
    </row>
    <row r="650" spans="5:5">
      <c r="E650" s="5">
        <f>IF(OR(D650="",t=""),"",_xlfn.IFS(D650&gt;=t,"C",D650&gt;=t/2,"B",D650&gt;=t/4,"A",TRUE,"S"))</f>
        <v/>
      </c>
    </row>
    <row r="651" spans="5:5">
      <c r="E651" s="5">
        <f>IF(OR(D651="",t=""),"",_xlfn.IFS(D651&gt;=t,"C",D651&gt;=t/2,"B",D651&gt;=t/4,"A",TRUE,"S"))</f>
        <v/>
      </c>
    </row>
    <row r="652" spans="5:5">
      <c r="E652" s="5">
        <f>IF(OR(D652="",t=""),"",_xlfn.IFS(D652&gt;=t,"C",D652&gt;=t/2,"B",D652&gt;=t/4,"A",TRUE,"S"))</f>
        <v/>
      </c>
    </row>
    <row r="653" spans="5:5">
      <c r="E653" s="5">
        <f>IF(OR(D653="",t=""),"",_xlfn.IFS(D653&gt;=t,"C",D653&gt;=t/2,"B",D653&gt;=t/4,"A",TRUE,"S"))</f>
        <v/>
      </c>
    </row>
    <row r="654" spans="5:5">
      <c r="E654" s="5">
        <f>IF(OR(D654="",t=""),"",_xlfn.IFS(D654&gt;=t,"C",D654&gt;=t/2,"B",D654&gt;=t/4,"A",TRUE,"S"))</f>
        <v/>
      </c>
    </row>
    <row r="655" spans="5:5">
      <c r="E655" s="5">
        <f>IF(OR(D655="",t=""),"",_xlfn.IFS(D655&gt;=t,"C",D655&gt;=t/2,"B",D655&gt;=t/4,"A",TRUE,"S"))</f>
        <v/>
      </c>
    </row>
    <row r="656" spans="5:5">
      <c r="E656" s="5">
        <f>IF(OR(D656="",t=""),"",_xlfn.IFS(D656&gt;=t,"C",D656&gt;=t/2,"B",D656&gt;=t/4,"A",TRUE,"S"))</f>
        <v/>
      </c>
    </row>
    <row r="657" spans="5:5">
      <c r="E657" s="5">
        <f>IF(OR(D657="",t=""),"",_xlfn.IFS(D657&gt;=t,"C",D657&gt;=t/2,"B",D657&gt;=t/4,"A",TRUE,"S"))</f>
        <v/>
      </c>
    </row>
    <row r="658" spans="5:5">
      <c r="E658" s="5">
        <f>IF(OR(D658="",t=""),"",_xlfn.IFS(D658&gt;=t,"C",D658&gt;=t/2,"B",D658&gt;=t/4,"A",TRUE,"S"))</f>
        <v/>
      </c>
    </row>
    <row r="659" spans="5:5">
      <c r="E659" s="5">
        <f>IF(OR(D659="",t=""),"",_xlfn.IFS(D659&gt;=t,"C",D659&gt;=t/2,"B",D659&gt;=t/4,"A",TRUE,"S"))</f>
        <v/>
      </c>
    </row>
    <row r="660" spans="5:5">
      <c r="E660" s="5">
        <f>IF(OR(D660="",t=""),"",_xlfn.IFS(D660&gt;=t,"C",D660&gt;=t/2,"B",D660&gt;=t/4,"A",TRUE,"S"))</f>
        <v/>
      </c>
    </row>
    <row r="661" spans="5:5">
      <c r="E661" s="5">
        <f>IF(OR(D661="",t=""),"",_xlfn.IFS(D661&gt;=t,"C",D661&gt;=t/2,"B",D661&gt;=t/4,"A",TRUE,"S"))</f>
        <v/>
      </c>
    </row>
    <row r="662" spans="5:5">
      <c r="E662" s="5">
        <f>IF(OR(D662="",t=""),"",_xlfn.IFS(D662&gt;=t,"C",D662&gt;=t/2,"B",D662&gt;=t/4,"A",TRUE,"S"))</f>
        <v/>
      </c>
    </row>
    <row r="663" spans="5:5">
      <c r="E663" s="5">
        <f>IF(OR(D663="",t=""),"",_xlfn.IFS(D663&gt;=t,"C",D663&gt;=t/2,"B",D663&gt;=t/4,"A",TRUE,"S"))</f>
        <v/>
      </c>
    </row>
    <row r="664" spans="5:5">
      <c r="E664" s="5">
        <f>IF(OR(D664="",t=""),"",_xlfn.IFS(D664&gt;=t,"C",D664&gt;=t/2,"B",D664&gt;=t/4,"A",TRUE,"S"))</f>
        <v/>
      </c>
    </row>
    <row r="665" spans="5:5">
      <c r="E665" s="5">
        <f>IF(OR(D665="",t=""),"",_xlfn.IFS(D665&gt;=t,"C",D665&gt;=t/2,"B",D665&gt;=t/4,"A",TRUE,"S"))</f>
        <v/>
      </c>
    </row>
    <row r="666" spans="5:5">
      <c r="E666" s="5">
        <f>IF(OR(D666="",t=""),"",_xlfn.IFS(D666&gt;=t,"C",D666&gt;=t/2,"B",D666&gt;=t/4,"A",TRUE,"S"))</f>
        <v/>
      </c>
    </row>
    <row r="667" spans="5:5">
      <c r="E667" s="5">
        <f>IF(OR(D667="",t=""),"",_xlfn.IFS(D667&gt;=t,"C",D667&gt;=t/2,"B",D667&gt;=t/4,"A",TRUE,"S"))</f>
        <v/>
      </c>
    </row>
    <row r="668" spans="5:5">
      <c r="E668" s="5">
        <f>IF(OR(D668="",t=""),"",_xlfn.IFS(D668&gt;=t,"C",D668&gt;=t/2,"B",D668&gt;=t/4,"A",TRUE,"S"))</f>
        <v/>
      </c>
    </row>
    <row r="669" spans="5:5">
      <c r="E669" s="5">
        <f>IF(OR(D669="",t=""),"",_xlfn.IFS(D669&gt;=t,"C",D669&gt;=t/2,"B",D669&gt;=t/4,"A",TRUE,"S"))</f>
        <v/>
      </c>
    </row>
    <row r="670" spans="5:5">
      <c r="E670" s="5">
        <f>IF(OR(D670="",t=""),"",_xlfn.IFS(D670&gt;=t,"C",D670&gt;=t/2,"B",D670&gt;=t/4,"A",TRUE,"S"))</f>
        <v/>
      </c>
    </row>
    <row r="671" spans="5:5">
      <c r="E671" s="5">
        <f>IF(OR(D671="",t=""),"",_xlfn.IFS(D671&gt;=t,"C",D671&gt;=t/2,"B",D671&gt;=t/4,"A",TRUE,"S"))</f>
        <v/>
      </c>
    </row>
    <row r="672" spans="5:5">
      <c r="E672" s="5">
        <f>IF(OR(D672="",t=""),"",_xlfn.IFS(D672&gt;=t,"C",D672&gt;=t/2,"B",D672&gt;=t/4,"A",TRUE,"S"))</f>
        <v/>
      </c>
    </row>
    <row r="673" spans="5:5">
      <c r="E673" s="5">
        <f>IF(OR(D673="",t=""),"",_xlfn.IFS(D673&gt;=t,"C",D673&gt;=t/2,"B",D673&gt;=t/4,"A",TRUE,"S"))</f>
        <v/>
      </c>
    </row>
    <row r="674" spans="5:5">
      <c r="E674" s="5">
        <f>IF(OR(D674="",t=""),"",_xlfn.IFS(D674&gt;=t,"C",D674&gt;=t/2,"B",D674&gt;=t/4,"A",TRUE,"S"))</f>
        <v/>
      </c>
    </row>
    <row r="675" spans="5:5">
      <c r="E675" s="5">
        <f>IF(OR(D675="",t=""),"",_xlfn.IFS(D675&gt;=t,"C",D675&gt;=t/2,"B",D675&gt;=t/4,"A",TRUE,"S"))</f>
        <v/>
      </c>
    </row>
    <row r="676" spans="5:5">
      <c r="E676" s="5">
        <f>IF(OR(D676="",t=""),"",_xlfn.IFS(D676&gt;=t,"C",D676&gt;=t/2,"B",D676&gt;=t/4,"A",TRUE,"S"))</f>
        <v/>
      </c>
    </row>
    <row r="677" spans="5:5">
      <c r="E677" s="5">
        <f>IF(OR(D677="",t=""),"",_xlfn.IFS(D677&gt;=t,"C",D677&gt;=t/2,"B",D677&gt;=t/4,"A",TRUE,"S"))</f>
        <v/>
      </c>
    </row>
    <row r="678" spans="5:5">
      <c r="E678" s="5">
        <f>IF(OR(D678="",t=""),"",_xlfn.IFS(D678&gt;=t,"C",D678&gt;=t/2,"B",D678&gt;=t/4,"A",TRUE,"S"))</f>
        <v/>
      </c>
    </row>
    <row r="679" spans="5:5">
      <c r="E679" s="5">
        <f>IF(OR(D679="",t=""),"",_xlfn.IFS(D679&gt;=t,"C",D679&gt;=t/2,"B",D679&gt;=t/4,"A",TRUE,"S"))</f>
        <v/>
      </c>
    </row>
    <row r="680" spans="5:5">
      <c r="E680" s="5">
        <f>IF(OR(D680="",t=""),"",_xlfn.IFS(D680&gt;=t,"C",D680&gt;=t/2,"B",D680&gt;=t/4,"A",TRUE,"S"))</f>
        <v/>
      </c>
    </row>
    <row r="681" spans="5:5">
      <c r="E681" s="5">
        <f>IF(OR(D681="",t=""),"",_xlfn.IFS(D681&gt;=t,"C",D681&gt;=t/2,"B",D681&gt;=t/4,"A",TRUE,"S"))</f>
        <v/>
      </c>
    </row>
    <row r="682" spans="5:5">
      <c r="E682" s="5">
        <f>IF(OR(D682="",t=""),"",_xlfn.IFS(D682&gt;=t,"C",D682&gt;=t/2,"B",D682&gt;=t/4,"A",TRUE,"S"))</f>
        <v/>
      </c>
    </row>
    <row r="683" spans="5:5">
      <c r="E683" s="5">
        <f>IF(OR(D683="",t=""),"",_xlfn.IFS(D683&gt;=t,"C",D683&gt;=t/2,"B",D683&gt;=t/4,"A",TRUE,"S"))</f>
        <v/>
      </c>
    </row>
    <row r="684" spans="5:5">
      <c r="E684" s="5">
        <f>IF(OR(D684="",t=""),"",_xlfn.IFS(D684&gt;=t,"C",D684&gt;=t/2,"B",D684&gt;=t/4,"A",TRUE,"S"))</f>
        <v/>
      </c>
    </row>
    <row r="685" spans="5:5">
      <c r="E685" s="5">
        <f>IF(OR(D685="",t=""),"",_xlfn.IFS(D685&gt;=t,"C",D685&gt;=t/2,"B",D685&gt;=t/4,"A",TRUE,"S"))</f>
        <v/>
      </c>
    </row>
    <row r="686" spans="5:5">
      <c r="E686" s="5">
        <f>IF(OR(D686="",t=""),"",_xlfn.IFS(D686&gt;=t,"C",D686&gt;=t/2,"B",D686&gt;=t/4,"A",TRUE,"S"))</f>
        <v/>
      </c>
    </row>
    <row r="687" spans="5:5">
      <c r="E687" s="5">
        <f>IF(OR(D687="",t=""),"",_xlfn.IFS(D687&gt;=t,"C",D687&gt;=t/2,"B",D687&gt;=t/4,"A",TRUE,"S"))</f>
        <v/>
      </c>
    </row>
    <row r="688" spans="5:5">
      <c r="E688" s="5">
        <f>IF(OR(D688="",t=""),"",_xlfn.IFS(D688&gt;=t,"C",D688&gt;=t/2,"B",D688&gt;=t/4,"A",TRUE,"S"))</f>
        <v/>
      </c>
    </row>
    <row r="689" spans="5:5">
      <c r="E689" s="5">
        <f>IF(OR(D689="",t=""),"",_xlfn.IFS(D689&gt;=t,"C",D689&gt;=t/2,"B",D689&gt;=t/4,"A",TRUE,"S"))</f>
        <v/>
      </c>
    </row>
    <row r="690" spans="5:5">
      <c r="E690" s="5">
        <f>IF(OR(D690="",t=""),"",_xlfn.IFS(D690&gt;=t,"C",D690&gt;=t/2,"B",D690&gt;=t/4,"A",TRUE,"S"))</f>
        <v/>
      </c>
    </row>
    <row r="691" spans="5:5">
      <c r="E691" s="5">
        <f>IF(OR(D691="",t=""),"",_xlfn.IFS(D691&gt;=t,"C",D691&gt;=t/2,"B",D691&gt;=t/4,"A",TRUE,"S"))</f>
        <v/>
      </c>
    </row>
    <row r="692" spans="5:5">
      <c r="E692" s="5">
        <f>IF(OR(D692="",t=""),"",_xlfn.IFS(D692&gt;=t,"C",D692&gt;=t/2,"B",D692&gt;=t/4,"A",TRUE,"S"))</f>
        <v/>
      </c>
    </row>
    <row r="693" spans="5:5">
      <c r="E693" s="5">
        <f>IF(OR(D693="",t=""),"",_xlfn.IFS(D693&gt;=t,"C",D693&gt;=t/2,"B",D693&gt;=t/4,"A",TRUE,"S"))</f>
        <v/>
      </c>
    </row>
    <row r="694" spans="5:5">
      <c r="E694" s="5">
        <f>IF(OR(D694="",t=""),"",_xlfn.IFS(D694&gt;=t,"C",D694&gt;=t/2,"B",D694&gt;=t/4,"A",TRUE,"S"))</f>
        <v/>
      </c>
    </row>
    <row r="695" spans="5:5">
      <c r="E695" s="5">
        <f>IF(OR(D695="",t=""),"",_xlfn.IFS(D695&gt;=t,"C",D695&gt;=t/2,"B",D695&gt;=t/4,"A",TRUE,"S"))</f>
        <v/>
      </c>
    </row>
    <row r="696" spans="5:5">
      <c r="E696" s="5">
        <f>IF(OR(D696="",t=""),"",_xlfn.IFS(D696&gt;=t,"C",D696&gt;=t/2,"B",D696&gt;=t/4,"A",TRUE,"S"))</f>
        <v/>
      </c>
    </row>
    <row r="697" spans="5:5">
      <c r="E697" s="5">
        <f>IF(OR(D697="",t=""),"",_xlfn.IFS(D697&gt;=t,"C",D697&gt;=t/2,"B",D697&gt;=t/4,"A",TRUE,"S"))</f>
        <v/>
      </c>
    </row>
    <row r="698" spans="5:5">
      <c r="E698" s="5">
        <f>IF(OR(D698="",t=""),"",_xlfn.IFS(D698&gt;=t,"C",D698&gt;=t/2,"B",D698&gt;=t/4,"A",TRUE,"S"))</f>
        <v/>
      </c>
    </row>
    <row r="699" spans="5:5">
      <c r="E699" s="5">
        <f>IF(OR(D699="",t=""),"",_xlfn.IFS(D699&gt;=t,"C",D699&gt;=t/2,"B",D699&gt;=t/4,"A",TRUE,"S"))</f>
        <v/>
      </c>
    </row>
    <row r="700" spans="5:5">
      <c r="E700" s="5">
        <f>IF(OR(D700="",t=""),"",_xlfn.IFS(D700&gt;=t,"C",D700&gt;=t/2,"B",D700&gt;=t/4,"A",TRUE,"S"))</f>
        <v/>
      </c>
    </row>
    <row r="701" spans="5:5">
      <c r="E701" s="5">
        <f>IF(OR(D701="",t=""),"",_xlfn.IFS(D701&gt;=t,"C",D701&gt;=t/2,"B",D701&gt;=t/4,"A",TRUE,"S"))</f>
        <v/>
      </c>
    </row>
    <row r="702" spans="5:5">
      <c r="E702" s="5">
        <f>IF(OR(D702="",t=""),"",_xlfn.IFS(D702&gt;=t,"C",D702&gt;=t/2,"B",D702&gt;=t/4,"A",TRUE,"S"))</f>
        <v/>
      </c>
    </row>
    <row r="703" spans="5:5">
      <c r="E703" s="5">
        <f>IF(OR(D703="",t=""),"",_xlfn.IFS(D703&gt;=t,"C",D703&gt;=t/2,"B",D703&gt;=t/4,"A",TRUE,"S"))</f>
        <v/>
      </c>
    </row>
    <row r="704" spans="5:5">
      <c r="E704" s="5">
        <f>IF(OR(D704="",t=""),"",_xlfn.IFS(D704&gt;=t,"C",D704&gt;=t/2,"B",D704&gt;=t/4,"A",TRUE,"S"))</f>
        <v/>
      </c>
    </row>
    <row r="705" spans="5:5">
      <c r="E705" s="5">
        <f>IF(OR(D705="",t=""),"",_xlfn.IFS(D705&gt;=t,"C",D705&gt;=t/2,"B",D705&gt;=t/4,"A",TRUE,"S"))</f>
        <v/>
      </c>
    </row>
    <row r="706" spans="5:5">
      <c r="E706" s="5">
        <f>IF(OR(D706="",t=""),"",_xlfn.IFS(D706&gt;=t,"C",D706&gt;=t/2,"B",D706&gt;=t/4,"A",TRUE,"S"))</f>
        <v/>
      </c>
    </row>
    <row r="707" spans="5:5">
      <c r="E707" s="5">
        <f>IF(OR(D707="",t=""),"",_xlfn.IFS(D707&gt;=t,"C",D707&gt;=t/2,"B",D707&gt;=t/4,"A",TRUE,"S"))</f>
        <v/>
      </c>
    </row>
    <row r="708" spans="5:5">
      <c r="E708" s="5">
        <f>IF(OR(D708="",t=""),"",_xlfn.IFS(D708&gt;=t,"C",D708&gt;=t/2,"B",D708&gt;=t/4,"A",TRUE,"S"))</f>
        <v/>
      </c>
    </row>
    <row r="709" spans="5:5">
      <c r="E709" s="5">
        <f>IF(OR(D709="",t=""),"",_xlfn.IFS(D709&gt;=t,"C",D709&gt;=t/2,"B",D709&gt;=t/4,"A",TRUE,"S"))</f>
        <v/>
      </c>
    </row>
    <row r="710" spans="5:5">
      <c r="E710" s="5">
        <f>IF(OR(D710="",t=""),"",_xlfn.IFS(D710&gt;=t,"C",D710&gt;=t/2,"B",D710&gt;=t/4,"A",TRUE,"S"))</f>
        <v/>
      </c>
    </row>
    <row r="711" spans="5:5">
      <c r="E711" s="5">
        <f>IF(OR(D711="",t=""),"",_xlfn.IFS(D711&gt;=t,"C",D711&gt;=t/2,"B",D711&gt;=t/4,"A",TRUE,"S"))</f>
        <v/>
      </c>
    </row>
    <row r="712" spans="5:5">
      <c r="E712" s="5">
        <f>IF(OR(D712="",t=""),"",_xlfn.IFS(D712&gt;=t,"C",D712&gt;=t/2,"B",D712&gt;=t/4,"A",TRUE,"S"))</f>
        <v/>
      </c>
    </row>
    <row r="713" spans="5:5">
      <c r="E713" s="5">
        <f>IF(OR(D713="",t=""),"",_xlfn.IFS(D713&gt;=t,"C",D713&gt;=t/2,"B",D713&gt;=t/4,"A",TRUE,"S"))</f>
        <v/>
      </c>
    </row>
    <row r="714" spans="5:5">
      <c r="E714" s="5">
        <f>IF(OR(D714="",t=""),"",_xlfn.IFS(D714&gt;=t,"C",D714&gt;=t/2,"B",D714&gt;=t/4,"A",TRUE,"S"))</f>
        <v/>
      </c>
    </row>
    <row r="715" spans="5:5">
      <c r="E715" s="5">
        <f>IF(OR(D715="",t=""),"",_xlfn.IFS(D715&gt;=t,"C",D715&gt;=t/2,"B",D715&gt;=t/4,"A",TRUE,"S"))</f>
        <v/>
      </c>
    </row>
    <row r="716" spans="5:5">
      <c r="E716" s="5">
        <f>IF(OR(D716="",t=""),"",_xlfn.IFS(D716&gt;=t,"C",D716&gt;=t/2,"B",D716&gt;=t/4,"A",TRUE,"S"))</f>
        <v/>
      </c>
    </row>
    <row r="717" spans="5:5">
      <c r="E717" s="5">
        <f>IF(OR(D717="",t=""),"",_xlfn.IFS(D717&gt;=t,"C",D717&gt;=t/2,"B",D717&gt;=t/4,"A",TRUE,"S"))</f>
        <v/>
      </c>
    </row>
    <row r="718" spans="5:5">
      <c r="E718" s="5">
        <f>IF(OR(D718="",t=""),"",_xlfn.IFS(D718&gt;=t,"C",D718&gt;=t/2,"B",D718&gt;=t/4,"A",TRUE,"S"))</f>
        <v/>
      </c>
    </row>
    <row r="719" spans="5:5">
      <c r="E719" s="5">
        <f>IF(OR(D719="",t=""),"",_xlfn.IFS(D719&gt;=t,"C",D719&gt;=t/2,"B",D719&gt;=t/4,"A",TRUE,"S"))</f>
        <v/>
      </c>
    </row>
    <row r="720" spans="5:5">
      <c r="E720" s="5">
        <f>IF(OR(D720="",t=""),"",_xlfn.IFS(D720&gt;=t,"C",D720&gt;=t/2,"B",D720&gt;=t/4,"A",TRUE,"S"))</f>
        <v/>
      </c>
    </row>
    <row r="721" spans="5:5">
      <c r="E721" s="5">
        <f>IF(OR(D721="",t=""),"",_xlfn.IFS(D721&gt;=t,"C",D721&gt;=t/2,"B",D721&gt;=t/4,"A",TRUE,"S"))</f>
        <v/>
      </c>
    </row>
    <row r="722" spans="5:5">
      <c r="E722" s="5">
        <f>IF(OR(D722="",t=""),"",_xlfn.IFS(D722&gt;=t,"C",D722&gt;=t/2,"B",D722&gt;=t/4,"A",TRUE,"S"))</f>
        <v/>
      </c>
    </row>
    <row r="723" spans="5:5">
      <c r="E723" s="5">
        <f>IF(OR(D723="",t=""),"",_xlfn.IFS(D723&gt;=t,"C",D723&gt;=t/2,"B",D723&gt;=t/4,"A",TRUE,"S"))</f>
        <v/>
      </c>
    </row>
    <row r="724" spans="5:5">
      <c r="E724" s="5">
        <f>IF(OR(D724="",t=""),"",_xlfn.IFS(D724&gt;=t,"C",D724&gt;=t/2,"B",D724&gt;=t/4,"A",TRUE,"S"))</f>
        <v/>
      </c>
    </row>
    <row r="725" spans="5:5">
      <c r="E725" s="5">
        <f>IF(OR(D725="",t=""),"",_xlfn.IFS(D725&gt;=t,"C",D725&gt;=t/2,"B",D725&gt;=t/4,"A",TRUE,"S"))</f>
        <v/>
      </c>
    </row>
    <row r="726" spans="5:5">
      <c r="E726" s="5">
        <f>IF(OR(D726="",t=""),"",_xlfn.IFS(D726&gt;=t,"C",D726&gt;=t/2,"B",D726&gt;=t/4,"A",TRUE,"S"))</f>
        <v/>
      </c>
    </row>
    <row r="727" spans="5:5">
      <c r="E727" s="5">
        <f>IF(OR(D727="",t=""),"",_xlfn.IFS(D727&gt;=t,"C",D727&gt;=t/2,"B",D727&gt;=t/4,"A",TRUE,"S"))</f>
        <v/>
      </c>
    </row>
    <row r="728" spans="5:5">
      <c r="E728" s="5">
        <f>IF(OR(D728="",t=""),"",_xlfn.IFS(D728&gt;=t,"C",D728&gt;=t/2,"B",D728&gt;=t/4,"A",TRUE,"S"))</f>
        <v/>
      </c>
    </row>
    <row r="729" spans="5:5">
      <c r="E729" s="5">
        <f>IF(OR(D729="",t=""),"",_xlfn.IFS(D729&gt;=t,"C",D729&gt;=t/2,"B",D729&gt;=t/4,"A",TRUE,"S"))</f>
        <v/>
      </c>
    </row>
    <row r="730" spans="5:5">
      <c r="E730" s="5">
        <f>IF(OR(D730="",t=""),"",_xlfn.IFS(D730&gt;=t,"C",D730&gt;=t/2,"B",D730&gt;=t/4,"A",TRUE,"S"))</f>
        <v/>
      </c>
    </row>
    <row r="731" spans="5:5">
      <c r="E731" s="5">
        <f>IF(OR(D731="",t=""),"",_xlfn.IFS(D731&gt;=t,"C",D731&gt;=t/2,"B",D731&gt;=t/4,"A",TRUE,"S"))</f>
        <v/>
      </c>
    </row>
    <row r="732" spans="5:5">
      <c r="E732" s="5">
        <f>IF(OR(D732="",t=""),"",_xlfn.IFS(D732&gt;=t,"C",D732&gt;=t/2,"B",D732&gt;=t/4,"A",TRUE,"S"))</f>
        <v/>
      </c>
    </row>
    <row r="733" spans="5:5">
      <c r="E733" s="5">
        <f>IF(OR(D733="",t=""),"",_xlfn.IFS(D733&gt;=t,"C",D733&gt;=t/2,"B",D733&gt;=t/4,"A",TRUE,"S"))</f>
        <v/>
      </c>
    </row>
    <row r="734" spans="5:5">
      <c r="E734" s="5">
        <f>IF(OR(D734="",t=""),"",_xlfn.IFS(D734&gt;=t,"C",D734&gt;=t/2,"B",D734&gt;=t/4,"A",TRUE,"S"))</f>
        <v/>
      </c>
    </row>
    <row r="735" spans="5:5">
      <c r="E735" s="5">
        <f>IF(OR(D735="",t=""),"",_xlfn.IFS(D735&gt;=t,"C",D735&gt;=t/2,"B",D735&gt;=t/4,"A",TRUE,"S"))</f>
        <v/>
      </c>
    </row>
    <row r="736" spans="5:5">
      <c r="E736" s="5">
        <f>IF(OR(D736="",t=""),"",_xlfn.IFS(D736&gt;=t,"C",D736&gt;=t/2,"B",D736&gt;=t/4,"A",TRUE,"S"))</f>
        <v/>
      </c>
    </row>
    <row r="737" spans="5:5">
      <c r="E737" s="5">
        <f>IF(OR(D737="",t=""),"",_xlfn.IFS(D737&gt;=t,"C",D737&gt;=t/2,"B",D737&gt;=t/4,"A",TRUE,"S"))</f>
        <v/>
      </c>
    </row>
    <row r="738" spans="5:5">
      <c r="E738" s="5">
        <f>IF(OR(D738="",t=""),"",_xlfn.IFS(D738&gt;=t,"C",D738&gt;=t/2,"B",D738&gt;=t/4,"A",TRUE,"S"))</f>
        <v/>
      </c>
    </row>
    <row r="739" spans="5:5">
      <c r="E739" s="5">
        <f>IF(OR(D739="",t=""),"",_xlfn.IFS(D739&gt;=t,"C",D739&gt;=t/2,"B",D739&gt;=t/4,"A",TRUE,"S"))</f>
        <v/>
      </c>
    </row>
    <row r="740" spans="5:5">
      <c r="E740" s="5">
        <f>IF(OR(D740="",t=""),"",_xlfn.IFS(D740&gt;=t,"C",D740&gt;=t/2,"B",D740&gt;=t/4,"A",TRUE,"S"))</f>
        <v/>
      </c>
    </row>
    <row r="741" spans="5:5">
      <c r="E741" s="5">
        <f>IF(OR(D741="",t=""),"",_xlfn.IFS(D741&gt;=t,"C",D741&gt;=t/2,"B",D741&gt;=t/4,"A",TRUE,"S"))</f>
        <v/>
      </c>
    </row>
    <row r="742" spans="5:5">
      <c r="E742" s="5">
        <f>IF(OR(D742="",t=""),"",_xlfn.IFS(D742&gt;=t,"C",D742&gt;=t/2,"B",D742&gt;=t/4,"A",TRUE,"S"))</f>
        <v/>
      </c>
    </row>
    <row r="743" spans="5:5">
      <c r="E743" s="5">
        <f>IF(OR(D743="",t=""),"",_xlfn.IFS(D743&gt;=t,"C",D743&gt;=t/2,"B",D743&gt;=t/4,"A",TRUE,"S"))</f>
        <v/>
      </c>
    </row>
    <row r="744" spans="5:5">
      <c r="E744" s="5">
        <f>IF(OR(D744="",t=""),"",_xlfn.IFS(D744&gt;=t,"C",D744&gt;=t/2,"B",D744&gt;=t/4,"A",TRUE,"S"))</f>
        <v/>
      </c>
    </row>
    <row r="745" spans="5:5">
      <c r="E745" s="5">
        <f>IF(OR(D745="",t=""),"",_xlfn.IFS(D745&gt;=t,"C",D745&gt;=t/2,"B",D745&gt;=t/4,"A",TRUE,"S"))</f>
        <v/>
      </c>
    </row>
    <row r="746" spans="5:5">
      <c r="E746" s="5">
        <f>IF(OR(D746="",t=""),"",_xlfn.IFS(D746&gt;=t,"C",D746&gt;=t/2,"B",D746&gt;=t/4,"A",TRUE,"S"))</f>
        <v/>
      </c>
    </row>
    <row r="747" spans="5:5">
      <c r="E747" s="5">
        <f>IF(OR(D747="",t=""),"",_xlfn.IFS(D747&gt;=t,"C",D747&gt;=t/2,"B",D747&gt;=t/4,"A",TRUE,"S"))</f>
        <v/>
      </c>
    </row>
    <row r="748" spans="5:5">
      <c r="E748" s="5">
        <f>IF(OR(D748="",t=""),"",_xlfn.IFS(D748&gt;=t,"C",D748&gt;=t/2,"B",D748&gt;=t/4,"A",TRUE,"S"))</f>
        <v/>
      </c>
    </row>
    <row r="749" spans="5:5">
      <c r="E749" s="5">
        <f>IF(OR(D749="",t=""),"",_xlfn.IFS(D749&gt;=t,"C",D749&gt;=t/2,"B",D749&gt;=t/4,"A",TRUE,"S"))</f>
        <v/>
      </c>
    </row>
    <row r="750" spans="5:5">
      <c r="E750" s="5">
        <f>IF(OR(D750="",t=""),"",_xlfn.IFS(D750&gt;=t,"C",D750&gt;=t/2,"B",D750&gt;=t/4,"A",TRUE,"S"))</f>
        <v/>
      </c>
    </row>
    <row r="751" spans="5:5">
      <c r="E751" s="5">
        <f>IF(OR(D751="",t=""),"",_xlfn.IFS(D751&gt;=t,"C",D751&gt;=t/2,"B",D751&gt;=t/4,"A",TRUE,"S"))</f>
        <v/>
      </c>
    </row>
    <row r="752" spans="5:5">
      <c r="E752" s="5">
        <f>IF(OR(D752="",t=""),"",_xlfn.IFS(D752&gt;=t,"C",D752&gt;=t/2,"B",D752&gt;=t/4,"A",TRUE,"S"))</f>
        <v/>
      </c>
    </row>
    <row r="753" spans="5:5">
      <c r="E753" s="5">
        <f>IF(OR(D753="",t=""),"",_xlfn.IFS(D753&gt;=t,"C",D753&gt;=t/2,"B",D753&gt;=t/4,"A",TRUE,"S"))</f>
        <v/>
      </c>
    </row>
    <row r="754" spans="5:5">
      <c r="E754" s="5">
        <f>IF(OR(D754="",t=""),"",_xlfn.IFS(D754&gt;=t,"C",D754&gt;=t/2,"B",D754&gt;=t/4,"A",TRUE,"S"))</f>
        <v/>
      </c>
    </row>
    <row r="755" spans="5:5">
      <c r="E755" s="5">
        <f>IF(OR(D755="",t=""),"",_xlfn.IFS(D755&gt;=t,"C",D755&gt;=t/2,"B",D755&gt;=t/4,"A",TRUE,"S"))</f>
        <v/>
      </c>
    </row>
    <row r="756" spans="5:5">
      <c r="E756" s="5">
        <f>IF(OR(D756="",t=""),"",_xlfn.IFS(D756&gt;=t,"C",D756&gt;=t/2,"B",D756&gt;=t/4,"A",TRUE,"S"))</f>
        <v/>
      </c>
    </row>
    <row r="757" spans="5:5">
      <c r="E757" s="5">
        <f>IF(OR(D757="",t=""),"",_xlfn.IFS(D757&gt;=t,"C",D757&gt;=t/2,"B",D757&gt;=t/4,"A",TRUE,"S"))</f>
        <v/>
      </c>
    </row>
    <row r="758" spans="5:5">
      <c r="E758" s="5">
        <f>IF(OR(D758="",t=""),"",_xlfn.IFS(D758&gt;=t,"C",D758&gt;=t/2,"B",D758&gt;=t/4,"A",TRUE,"S"))</f>
        <v/>
      </c>
    </row>
    <row r="759" spans="5:5">
      <c r="E759" s="5">
        <f>IF(OR(D759="",t=""),"",_xlfn.IFS(D759&gt;=t,"C",D759&gt;=t/2,"B",D759&gt;=t/4,"A",TRUE,"S"))</f>
        <v/>
      </c>
    </row>
    <row r="760" spans="5:5">
      <c r="E760" s="5">
        <f>IF(OR(D760="",t=""),"",_xlfn.IFS(D760&gt;=t,"C",D760&gt;=t/2,"B",D760&gt;=t/4,"A",TRUE,"S"))</f>
        <v/>
      </c>
    </row>
    <row r="761" spans="5:5">
      <c r="E761" s="5">
        <f>IF(OR(D761="",t=""),"",_xlfn.IFS(D761&gt;=t,"C",D761&gt;=t/2,"B",D761&gt;=t/4,"A",TRUE,"S"))</f>
        <v/>
      </c>
    </row>
    <row r="762" spans="5:5">
      <c r="E762" s="5">
        <f>IF(OR(D762="",t=""),"",_xlfn.IFS(D762&gt;=t,"C",D762&gt;=t/2,"B",D762&gt;=t/4,"A",TRUE,"S"))</f>
        <v/>
      </c>
    </row>
    <row r="763" spans="5:5">
      <c r="E763" s="5">
        <f>IF(OR(D763="",t=""),"",_xlfn.IFS(D763&gt;=t,"C",D763&gt;=t/2,"B",D763&gt;=t/4,"A",TRUE,"S"))</f>
        <v/>
      </c>
    </row>
    <row r="764" spans="5:5">
      <c r="E764" s="5">
        <f>IF(OR(D764="",t=""),"",_xlfn.IFS(D764&gt;=t,"C",D764&gt;=t/2,"B",D764&gt;=t/4,"A",TRUE,"S"))</f>
        <v/>
      </c>
    </row>
    <row r="765" spans="5:5">
      <c r="E765" s="5">
        <f>IF(OR(D765="",t=""),"",_xlfn.IFS(D765&gt;=t,"C",D765&gt;=t/2,"B",D765&gt;=t/4,"A",TRUE,"S"))</f>
        <v/>
      </c>
    </row>
    <row r="766" spans="5:5">
      <c r="E766" s="5">
        <f>IF(OR(D766="",t=""),"",_xlfn.IFS(D766&gt;=t,"C",D766&gt;=t/2,"B",D766&gt;=t/4,"A",TRUE,"S"))</f>
        <v/>
      </c>
    </row>
    <row r="767" spans="5:5">
      <c r="E767" s="5">
        <f>IF(OR(D767="",t=""),"",_xlfn.IFS(D767&gt;=t,"C",D767&gt;=t/2,"B",D767&gt;=t/4,"A",TRUE,"S"))</f>
        <v/>
      </c>
    </row>
    <row r="768" spans="5:5">
      <c r="E768" s="5">
        <f>IF(OR(D768="",t=""),"",_xlfn.IFS(D768&gt;=t,"C",D768&gt;=t/2,"B",D768&gt;=t/4,"A",TRUE,"S"))</f>
        <v/>
      </c>
    </row>
    <row r="769" spans="5:5">
      <c r="E769" s="5">
        <f>IF(OR(D769="",t=""),"",_xlfn.IFS(D769&gt;=t,"C",D769&gt;=t/2,"B",D769&gt;=t/4,"A",TRUE,"S"))</f>
        <v/>
      </c>
    </row>
    <row r="770" spans="5:5">
      <c r="E770" s="5">
        <f>IF(OR(D770="",t=""),"",_xlfn.IFS(D770&gt;=t,"C",D770&gt;=t/2,"B",D770&gt;=t/4,"A",TRUE,"S"))</f>
        <v/>
      </c>
    </row>
    <row r="771" spans="5:5">
      <c r="E771" s="5">
        <f>IF(OR(D771="",t=""),"",_xlfn.IFS(D771&gt;=t,"C",D771&gt;=t/2,"B",D771&gt;=t/4,"A",TRUE,"S"))</f>
        <v/>
      </c>
    </row>
    <row r="772" spans="5:5">
      <c r="E772" s="5">
        <f>IF(OR(D772="",t=""),"",_xlfn.IFS(D772&gt;=t,"C",D772&gt;=t/2,"B",D772&gt;=t/4,"A",TRUE,"S"))</f>
        <v/>
      </c>
    </row>
    <row r="773" spans="5:5">
      <c r="E773" s="5">
        <f>IF(OR(D773="",t=""),"",_xlfn.IFS(D773&gt;=t,"C",D773&gt;=t/2,"B",D773&gt;=t/4,"A",TRUE,"S"))</f>
        <v/>
      </c>
    </row>
    <row r="774" spans="5:5">
      <c r="E774" s="5">
        <f>IF(OR(D774="",t=""),"",_xlfn.IFS(D774&gt;=t,"C",D774&gt;=t/2,"B",D774&gt;=t/4,"A",TRUE,"S"))</f>
        <v/>
      </c>
    </row>
    <row r="775" spans="5:5">
      <c r="E775" s="5">
        <f>IF(OR(D775="",t=""),"",_xlfn.IFS(D775&gt;=t,"C",D775&gt;=t/2,"B",D775&gt;=t/4,"A",TRUE,"S"))</f>
        <v/>
      </c>
    </row>
    <row r="776" spans="5:5">
      <c r="E776" s="5">
        <f>IF(OR(D776="",t=""),"",_xlfn.IFS(D776&gt;=t,"C",D776&gt;=t/2,"B",D776&gt;=t/4,"A",TRUE,"S"))</f>
        <v/>
      </c>
    </row>
    <row r="777" spans="5:5">
      <c r="E777" s="5">
        <f>IF(OR(D777="",t=""),"",_xlfn.IFS(D777&gt;=t,"C",D777&gt;=t/2,"B",D777&gt;=t/4,"A",TRUE,"S"))</f>
        <v/>
      </c>
    </row>
    <row r="778" spans="5:5">
      <c r="E778" s="5">
        <f>IF(OR(D778="",t=""),"",_xlfn.IFS(D778&gt;=t,"C",D778&gt;=t/2,"B",D778&gt;=t/4,"A",TRUE,"S"))</f>
        <v/>
      </c>
    </row>
    <row r="779" spans="5:5">
      <c r="E779" s="5">
        <f>IF(OR(D779="",t=""),"",_xlfn.IFS(D779&gt;=t,"C",D779&gt;=t/2,"B",D779&gt;=t/4,"A",TRUE,"S"))</f>
        <v/>
      </c>
    </row>
    <row r="780" spans="5:5">
      <c r="E780" s="5">
        <f>IF(OR(D780="",t=""),"",_xlfn.IFS(D780&gt;=t,"C",D780&gt;=t/2,"B",D780&gt;=t/4,"A",TRUE,"S"))</f>
        <v/>
      </c>
    </row>
    <row r="781" spans="5:5">
      <c r="E781" s="5">
        <f>IF(OR(D781="",t=""),"",_xlfn.IFS(D781&gt;=t,"C",D781&gt;=t/2,"B",D781&gt;=t/4,"A",TRUE,"S"))</f>
        <v/>
      </c>
    </row>
    <row r="782" spans="5:5">
      <c r="E782" s="5">
        <f>IF(OR(D782="",t=""),"",_xlfn.IFS(D782&gt;=t,"C",D782&gt;=t/2,"B",D782&gt;=t/4,"A",TRUE,"S"))</f>
        <v/>
      </c>
    </row>
    <row r="783" spans="5:5">
      <c r="E783" s="5">
        <f>IF(OR(D783="",t=""),"",_xlfn.IFS(D783&gt;=t,"C",D783&gt;=t/2,"B",D783&gt;=t/4,"A",TRUE,"S"))</f>
        <v/>
      </c>
    </row>
    <row r="784" spans="5:5">
      <c r="E784" s="5">
        <f>IF(OR(D784="",t=""),"",_xlfn.IFS(D784&gt;=t,"C",D784&gt;=t/2,"B",D784&gt;=t/4,"A",TRUE,"S"))</f>
        <v/>
      </c>
    </row>
    <row r="785" spans="5:5">
      <c r="E785" s="5">
        <f>IF(OR(D785="",t=""),"",_xlfn.IFS(D785&gt;=t,"C",D785&gt;=t/2,"B",D785&gt;=t/4,"A",TRUE,"S"))</f>
        <v/>
      </c>
    </row>
    <row r="786" spans="5:5">
      <c r="E786" s="5">
        <f>IF(OR(D786="",t=""),"",_xlfn.IFS(D786&gt;=t,"C",D786&gt;=t/2,"B",D786&gt;=t/4,"A",TRUE,"S"))</f>
        <v/>
      </c>
    </row>
    <row r="787" spans="5:5">
      <c r="E787" s="5">
        <f>IF(OR(D787="",t=""),"",_xlfn.IFS(D787&gt;=t,"C",D787&gt;=t/2,"B",D787&gt;=t/4,"A",TRUE,"S"))</f>
        <v/>
      </c>
    </row>
    <row r="788" spans="5:5">
      <c r="E788" s="5">
        <f>IF(OR(D788="",t=""),"",_xlfn.IFS(D788&gt;=t,"C",D788&gt;=t/2,"B",D788&gt;=t/4,"A",TRUE,"S"))</f>
        <v/>
      </c>
    </row>
    <row r="789" spans="5:5">
      <c r="E789" s="5">
        <f>IF(OR(D789="",t=""),"",_xlfn.IFS(D789&gt;=t,"C",D789&gt;=t/2,"B",D789&gt;=t/4,"A",TRUE,"S"))</f>
        <v/>
      </c>
    </row>
    <row r="790" spans="5:5">
      <c r="E790" s="5">
        <f>IF(OR(D790="",t=""),"",_xlfn.IFS(D790&gt;=t,"C",D790&gt;=t/2,"B",D790&gt;=t/4,"A",TRUE,"S"))</f>
        <v/>
      </c>
    </row>
    <row r="791" spans="5:5">
      <c r="E791" s="5">
        <f>IF(OR(D791="",t=""),"",_xlfn.IFS(D791&gt;=t,"C",D791&gt;=t/2,"B",D791&gt;=t/4,"A",TRUE,"S"))</f>
        <v/>
      </c>
    </row>
    <row r="792" spans="5:5">
      <c r="E792" s="5">
        <f>IF(OR(D792="",t=""),"",_xlfn.IFS(D792&gt;=t,"C",D792&gt;=t/2,"B",D792&gt;=t/4,"A",TRUE,"S"))</f>
        <v/>
      </c>
    </row>
    <row r="793" spans="5:5">
      <c r="E793" s="5">
        <f>IF(OR(D793="",t=""),"",_xlfn.IFS(D793&gt;=t,"C",D793&gt;=t/2,"B",D793&gt;=t/4,"A",TRUE,"S"))</f>
        <v/>
      </c>
    </row>
    <row r="794" spans="5:5">
      <c r="E794" s="5">
        <f>IF(OR(D794="",t=""),"",_xlfn.IFS(D794&gt;=t,"C",D794&gt;=t/2,"B",D794&gt;=t/4,"A",TRUE,"S"))</f>
        <v/>
      </c>
    </row>
    <row r="795" spans="5:5">
      <c r="E795" s="5">
        <f>IF(OR(D795="",t=""),"",_xlfn.IFS(D795&gt;=t,"C",D795&gt;=t/2,"B",D795&gt;=t/4,"A",TRUE,"S"))</f>
        <v/>
      </c>
    </row>
    <row r="796" spans="5:5">
      <c r="E796" s="5">
        <f>IF(OR(D796="",t=""),"",_xlfn.IFS(D796&gt;=t,"C",D796&gt;=t/2,"B",D796&gt;=t/4,"A",TRUE,"S"))</f>
        <v/>
      </c>
    </row>
    <row r="797" spans="5:5">
      <c r="E797" s="5">
        <f>IF(OR(D797="",t=""),"",_xlfn.IFS(D797&gt;=t,"C",D797&gt;=t/2,"B",D797&gt;=t/4,"A",TRUE,"S"))</f>
        <v/>
      </c>
    </row>
    <row r="798" spans="5:5">
      <c r="E798" s="5">
        <f>IF(OR(D798="",t=""),"",_xlfn.IFS(D798&gt;=t,"C",D798&gt;=t/2,"B",D798&gt;=t/4,"A",TRUE,"S"))</f>
        <v/>
      </c>
    </row>
    <row r="799" spans="5:5">
      <c r="E799" s="5">
        <f>IF(OR(D799="",t=""),"",_xlfn.IFS(D799&gt;=t,"C",D799&gt;=t/2,"B",D799&gt;=t/4,"A",TRUE,"S"))</f>
        <v/>
      </c>
    </row>
    <row r="800" spans="5:5">
      <c r="E800" s="5">
        <f>IF(OR(D800="",t=""),"",_xlfn.IFS(D800&gt;=t,"C",D800&gt;=t/2,"B",D800&gt;=t/4,"A",TRUE,"S"))</f>
        <v/>
      </c>
    </row>
    <row r="801" spans="5:5">
      <c r="E801" s="5">
        <f>IF(OR(D801="",t=""),"",_xlfn.IFS(D801&gt;=t,"C",D801&gt;=t/2,"B",D801&gt;=t/4,"A",TRUE,"S"))</f>
        <v/>
      </c>
    </row>
    <row r="802" spans="5:5">
      <c r="E802" s="5">
        <f>IF(OR(D802="",t=""),"",_xlfn.IFS(D802&gt;=t,"C",D802&gt;=t/2,"B",D802&gt;=t/4,"A",TRUE,"S"))</f>
        <v/>
      </c>
    </row>
    <row r="803" spans="5:5">
      <c r="E803" s="5">
        <f>IF(OR(D803="",t=""),"",_xlfn.IFS(D803&gt;=t,"C",D803&gt;=t/2,"B",D803&gt;=t/4,"A",TRUE,"S"))</f>
        <v/>
      </c>
    </row>
    <row r="804" spans="5:5">
      <c r="E804" s="5">
        <f>IF(OR(D804="",t=""),"",_xlfn.IFS(D804&gt;=t,"C",D804&gt;=t/2,"B",D804&gt;=t/4,"A",TRUE,"S"))</f>
        <v/>
      </c>
    </row>
    <row r="805" spans="5:5">
      <c r="E805" s="5">
        <f>IF(OR(D805="",t=""),"",_xlfn.IFS(D805&gt;=t,"C",D805&gt;=t/2,"B",D805&gt;=t/4,"A",TRUE,"S"))</f>
        <v/>
      </c>
    </row>
    <row r="806" spans="5:5">
      <c r="E806" s="5">
        <f>IF(OR(D806="",t=""),"",_xlfn.IFS(D806&gt;=t,"C",D806&gt;=t/2,"B",D806&gt;=t/4,"A",TRUE,"S"))</f>
        <v/>
      </c>
    </row>
    <row r="807" spans="5:5">
      <c r="E807" s="5">
        <f>IF(OR(D807="",t=""),"",_xlfn.IFS(D807&gt;=t,"C",D807&gt;=t/2,"B",D807&gt;=t/4,"A",TRUE,"S"))</f>
        <v/>
      </c>
    </row>
    <row r="808" spans="5:5">
      <c r="E808" s="5">
        <f>IF(OR(D808="",t=""),"",_xlfn.IFS(D808&gt;=t,"C",D808&gt;=t/2,"B",D808&gt;=t/4,"A",TRUE,"S"))</f>
        <v/>
      </c>
    </row>
    <row r="809" spans="5:5">
      <c r="E809" s="5">
        <f>IF(OR(D809="",t=""),"",_xlfn.IFS(D809&gt;=t,"C",D809&gt;=t/2,"B",D809&gt;=t/4,"A",TRUE,"S"))</f>
        <v/>
      </c>
    </row>
    <row r="810" spans="5:5">
      <c r="E810" s="5">
        <f>IF(OR(D810="",t=""),"",_xlfn.IFS(D810&gt;=t,"C",D810&gt;=t/2,"B",D810&gt;=t/4,"A",TRUE,"S"))</f>
        <v/>
      </c>
    </row>
    <row r="811" spans="5:5">
      <c r="E811" s="5">
        <f>IF(OR(D811="",t=""),"",_xlfn.IFS(D811&gt;=t,"C",D811&gt;=t/2,"B",D811&gt;=t/4,"A",TRUE,"S"))</f>
        <v/>
      </c>
    </row>
    <row r="812" spans="5:5">
      <c r="E812" s="5">
        <f>IF(OR(D812="",t=""),"",_xlfn.IFS(D812&gt;=t,"C",D812&gt;=t/2,"B",D812&gt;=t/4,"A",TRUE,"S"))</f>
        <v/>
      </c>
    </row>
    <row r="813" spans="5:5">
      <c r="E813" s="5">
        <f>IF(OR(D813="",t=""),"",_xlfn.IFS(D813&gt;=t,"C",D813&gt;=t/2,"B",D813&gt;=t/4,"A",TRUE,"S"))</f>
        <v/>
      </c>
    </row>
    <row r="814" spans="5:5">
      <c r="E814" s="5">
        <f>IF(OR(D814="",t=""),"",_xlfn.IFS(D814&gt;=t,"C",D814&gt;=t/2,"B",D814&gt;=t/4,"A",TRUE,"S"))</f>
        <v/>
      </c>
    </row>
    <row r="815" spans="5:5">
      <c r="E815" s="5">
        <f>IF(OR(D815="",t=""),"",_xlfn.IFS(D815&gt;=t,"C",D815&gt;=t/2,"B",D815&gt;=t/4,"A",TRUE,"S"))</f>
        <v/>
      </c>
    </row>
    <row r="816" spans="5:5">
      <c r="E816" s="5">
        <f>IF(OR(D816="",t=""),"",_xlfn.IFS(D816&gt;=t,"C",D816&gt;=t/2,"B",D816&gt;=t/4,"A",TRUE,"S"))</f>
        <v/>
      </c>
    </row>
    <row r="817" spans="5:5">
      <c r="E817" s="5">
        <f>IF(OR(D817="",t=""),"",_xlfn.IFS(D817&gt;=t,"C",D817&gt;=t/2,"B",D817&gt;=t/4,"A",TRUE,"S"))</f>
        <v/>
      </c>
    </row>
    <row r="818" spans="5:5">
      <c r="E818" s="5">
        <f>IF(OR(D818="",t=""),"",_xlfn.IFS(D818&gt;=t,"C",D818&gt;=t/2,"B",D818&gt;=t/4,"A",TRUE,"S"))</f>
        <v/>
      </c>
    </row>
    <row r="819" spans="5:5">
      <c r="E819" s="5">
        <f>IF(OR(D819="",t=""),"",_xlfn.IFS(D819&gt;=t,"C",D819&gt;=t/2,"B",D819&gt;=t/4,"A",TRUE,"S"))</f>
        <v/>
      </c>
    </row>
    <row r="820" spans="5:5">
      <c r="E820" s="5">
        <f>IF(OR(D820="",t=""),"",_xlfn.IFS(D820&gt;=t,"C",D820&gt;=t/2,"B",D820&gt;=t/4,"A",TRUE,"S"))</f>
        <v/>
      </c>
    </row>
    <row r="821" spans="5:5">
      <c r="E821" s="5">
        <f>IF(OR(D821="",t=""),"",_xlfn.IFS(D821&gt;=t,"C",D821&gt;=t/2,"B",D821&gt;=t/4,"A",TRUE,"S"))</f>
        <v/>
      </c>
    </row>
    <row r="822" spans="5:5">
      <c r="E822" s="5">
        <f>IF(OR(D822="",t=""),"",_xlfn.IFS(D822&gt;=t,"C",D822&gt;=t/2,"B",D822&gt;=t/4,"A",TRUE,"S"))</f>
        <v/>
      </c>
    </row>
    <row r="823" spans="5:5">
      <c r="E823" s="5">
        <f>IF(OR(D823="",t=""),"",_xlfn.IFS(D823&gt;=t,"C",D823&gt;=t/2,"B",D823&gt;=t/4,"A",TRUE,"S"))</f>
        <v/>
      </c>
    </row>
    <row r="824" spans="5:5">
      <c r="E824" s="5">
        <f>IF(OR(D824="",t=""),"",_xlfn.IFS(D824&gt;=t,"C",D824&gt;=t/2,"B",D824&gt;=t/4,"A",TRUE,"S"))</f>
        <v/>
      </c>
    </row>
    <row r="825" spans="5:5">
      <c r="E825" s="5">
        <f>IF(OR(D825="",t=""),"",_xlfn.IFS(D825&gt;=t,"C",D825&gt;=t/2,"B",D825&gt;=t/4,"A",TRUE,"S"))</f>
        <v/>
      </c>
    </row>
    <row r="826" spans="5:5">
      <c r="E826" s="5">
        <f>IF(OR(D826="",t=""),"",_xlfn.IFS(D826&gt;=t,"C",D826&gt;=t/2,"B",D826&gt;=t/4,"A",TRUE,"S"))</f>
        <v/>
      </c>
    </row>
    <row r="827" spans="5:5">
      <c r="E827" s="5">
        <f>IF(OR(D827="",t=""),"",_xlfn.IFS(D827&gt;=t,"C",D827&gt;=t/2,"B",D827&gt;=t/4,"A",TRUE,"S"))</f>
        <v/>
      </c>
    </row>
    <row r="828" spans="5:5">
      <c r="E828" s="5">
        <f>IF(OR(D828="",t=""),"",_xlfn.IFS(D828&gt;=t,"C",D828&gt;=t/2,"B",D828&gt;=t/4,"A",TRUE,"S"))</f>
        <v/>
      </c>
    </row>
    <row r="829" spans="5:5">
      <c r="E829" s="5">
        <f>IF(OR(D829="",t=""),"",_xlfn.IFS(D829&gt;=t,"C",D829&gt;=t/2,"B",D829&gt;=t/4,"A",TRUE,"S"))</f>
        <v/>
      </c>
    </row>
    <row r="830" spans="5:5">
      <c r="E830" s="5">
        <f>IF(OR(D830="",t=""),"",_xlfn.IFS(D830&gt;=t,"C",D830&gt;=t/2,"B",D830&gt;=t/4,"A",TRUE,"S"))</f>
        <v/>
      </c>
    </row>
    <row r="831" spans="5:5">
      <c r="E831" s="5">
        <f>IF(OR(D831="",t=""),"",_xlfn.IFS(D831&gt;=t,"C",D831&gt;=t/2,"B",D831&gt;=t/4,"A",TRUE,"S"))</f>
        <v/>
      </c>
    </row>
    <row r="832" spans="5:5">
      <c r="E832" s="5">
        <f>IF(OR(D832="",t=""),"",_xlfn.IFS(D832&gt;=t,"C",D832&gt;=t/2,"B",D832&gt;=t/4,"A",TRUE,"S"))</f>
        <v/>
      </c>
    </row>
    <row r="833" spans="5:5">
      <c r="E833" s="5">
        <f>IF(OR(D833="",t=""),"",_xlfn.IFS(D833&gt;=t,"C",D833&gt;=t/2,"B",D833&gt;=t/4,"A",TRUE,"S"))</f>
        <v/>
      </c>
    </row>
    <row r="834" spans="5:5">
      <c r="E834" s="5">
        <f>IF(OR(D834="",t=""),"",_xlfn.IFS(D834&gt;=t,"C",D834&gt;=t/2,"B",D834&gt;=t/4,"A",TRUE,"S"))</f>
        <v/>
      </c>
    </row>
    <row r="835" spans="5:5">
      <c r="E835" s="5">
        <f>IF(OR(D835="",t=""),"",_xlfn.IFS(D835&gt;=t,"C",D835&gt;=t/2,"B",D835&gt;=t/4,"A",TRUE,"S"))</f>
        <v/>
      </c>
    </row>
    <row r="836" spans="5:5">
      <c r="E836" s="5">
        <f>IF(OR(D836="",t=""),"",_xlfn.IFS(D836&gt;=t,"C",D836&gt;=t/2,"B",D836&gt;=t/4,"A",TRUE,"S"))</f>
        <v/>
      </c>
    </row>
    <row r="837" spans="5:5">
      <c r="E837" s="5">
        <f>IF(OR(D837="",t=""),"",_xlfn.IFS(D837&gt;=t,"C",D837&gt;=t/2,"B",D837&gt;=t/4,"A",TRUE,"S"))</f>
        <v/>
      </c>
    </row>
    <row r="838" spans="5:5">
      <c r="E838" s="5">
        <f>IF(OR(D838="",t=""),"",_xlfn.IFS(D838&gt;=t,"C",D838&gt;=t/2,"B",D838&gt;=t/4,"A",TRUE,"S"))</f>
        <v/>
      </c>
    </row>
    <row r="839" spans="5:5">
      <c r="E839" s="5">
        <f>IF(OR(D839="",t=""),"",_xlfn.IFS(D839&gt;=t,"C",D839&gt;=t/2,"B",D839&gt;=t/4,"A",TRUE,"S"))</f>
        <v/>
      </c>
    </row>
    <row r="840" spans="5:5">
      <c r="E840" s="5">
        <f>IF(OR(D840="",t=""),"",_xlfn.IFS(D840&gt;=t,"C",D840&gt;=t/2,"B",D840&gt;=t/4,"A",TRUE,"S"))</f>
        <v/>
      </c>
    </row>
    <row r="841" spans="5:5">
      <c r="E841" s="5">
        <f>IF(OR(D841="",t=""),"",_xlfn.IFS(D841&gt;=t,"C",D841&gt;=t/2,"B",D841&gt;=t/4,"A",TRUE,"S"))</f>
        <v/>
      </c>
    </row>
    <row r="842" spans="5:5">
      <c r="E842" s="5">
        <f>IF(OR(D842="",t=""),"",_xlfn.IFS(D842&gt;=t,"C",D842&gt;=t/2,"B",D842&gt;=t/4,"A",TRUE,"S"))</f>
        <v/>
      </c>
    </row>
    <row r="843" spans="5:5">
      <c r="E843" s="5">
        <f>IF(OR(D843="",t=""),"",_xlfn.IFS(D843&gt;=t,"C",D843&gt;=t/2,"B",D843&gt;=t/4,"A",TRUE,"S"))</f>
        <v/>
      </c>
    </row>
    <row r="844" spans="5:5">
      <c r="E844" s="5">
        <f>IF(OR(D844="",t=""),"",_xlfn.IFS(D844&gt;=t,"C",D844&gt;=t/2,"B",D844&gt;=t/4,"A",TRUE,"S"))</f>
        <v/>
      </c>
    </row>
    <row r="845" spans="5:5">
      <c r="E845" s="5">
        <f>IF(OR(D845="",t=""),"",_xlfn.IFS(D845&gt;=t,"C",D845&gt;=t/2,"B",D845&gt;=t/4,"A",TRUE,"S"))</f>
        <v/>
      </c>
    </row>
    <row r="846" spans="5:5">
      <c r="E846" s="5">
        <f>IF(OR(D846="",t=""),"",_xlfn.IFS(D846&gt;=t,"C",D846&gt;=t/2,"B",D846&gt;=t/4,"A",TRUE,"S"))</f>
        <v/>
      </c>
    </row>
    <row r="847" spans="5:5">
      <c r="E847" s="5">
        <f>IF(OR(D847="",t=""),"",_xlfn.IFS(D847&gt;=t,"C",D847&gt;=t/2,"B",D847&gt;=t/4,"A",TRUE,"S"))</f>
        <v/>
      </c>
    </row>
    <row r="848" spans="5:5">
      <c r="E848" s="5">
        <f>IF(OR(D848="",t=""),"",_xlfn.IFS(D848&gt;=t,"C",D848&gt;=t/2,"B",D848&gt;=t/4,"A",TRUE,"S"))</f>
        <v/>
      </c>
    </row>
    <row r="849" spans="5:5">
      <c r="E849" s="5">
        <f>IF(OR(D849="",t=""),"",_xlfn.IFS(D849&gt;=t,"C",D849&gt;=t/2,"B",D849&gt;=t/4,"A",TRUE,"S"))</f>
        <v/>
      </c>
    </row>
    <row r="850" spans="5:5">
      <c r="E850" s="5">
        <f>IF(OR(D850="",t=""),"",_xlfn.IFS(D850&gt;=t,"C",D850&gt;=t/2,"B",D850&gt;=t/4,"A",TRUE,"S"))</f>
        <v/>
      </c>
    </row>
    <row r="851" spans="5:5">
      <c r="E851" s="5">
        <f>IF(OR(D851="",t=""),"",_xlfn.IFS(D851&gt;=t,"C",D851&gt;=t/2,"B",D851&gt;=t/4,"A",TRUE,"S"))</f>
        <v/>
      </c>
    </row>
    <row r="852" spans="5:5">
      <c r="E852" s="5">
        <f>IF(OR(D852="",t=""),"",_xlfn.IFS(D852&gt;=t,"C",D852&gt;=t/2,"B",D852&gt;=t/4,"A",TRUE,"S"))</f>
        <v/>
      </c>
    </row>
    <row r="853" spans="5:5">
      <c r="E853" s="5">
        <f>IF(OR(D853="",t=""),"",_xlfn.IFS(D853&gt;=t,"C",D853&gt;=t/2,"B",D853&gt;=t/4,"A",TRUE,"S"))</f>
        <v/>
      </c>
    </row>
    <row r="854" spans="5:5">
      <c r="E854" s="5">
        <f>IF(OR(D854="",t=""),"",_xlfn.IFS(D854&gt;=t,"C",D854&gt;=t/2,"B",D854&gt;=t/4,"A",TRUE,"S"))</f>
        <v/>
      </c>
    </row>
    <row r="855" spans="5:5">
      <c r="E855" s="5">
        <f>IF(OR(D855="",t=""),"",_xlfn.IFS(D855&gt;=t,"C",D855&gt;=t/2,"B",D855&gt;=t/4,"A",TRUE,"S"))</f>
        <v/>
      </c>
    </row>
    <row r="856" spans="5:5">
      <c r="E856" s="5">
        <f>IF(OR(D856="",t=""),"",_xlfn.IFS(D856&gt;=t,"C",D856&gt;=t/2,"B",D856&gt;=t/4,"A",TRUE,"S"))</f>
        <v/>
      </c>
    </row>
    <row r="857" spans="5:5">
      <c r="E857" s="5">
        <f>IF(OR(D857="",t=""),"",_xlfn.IFS(D857&gt;=t,"C",D857&gt;=t/2,"B",D857&gt;=t/4,"A",TRUE,"S"))</f>
        <v/>
      </c>
    </row>
    <row r="858" spans="5:5">
      <c r="E858" s="5">
        <f>IF(OR(D858="",t=""),"",_xlfn.IFS(D858&gt;=t,"C",D858&gt;=t/2,"B",D858&gt;=t/4,"A",TRUE,"S"))</f>
        <v/>
      </c>
    </row>
    <row r="859" spans="5:5">
      <c r="E859" s="5">
        <f>IF(OR(D859="",t=""),"",_xlfn.IFS(D859&gt;=t,"C",D859&gt;=t/2,"B",D859&gt;=t/4,"A",TRUE,"S"))</f>
        <v/>
      </c>
    </row>
    <row r="860" spans="5:5">
      <c r="E860" s="5">
        <f>IF(OR(D860="",t=""),"",_xlfn.IFS(D860&gt;=t,"C",D860&gt;=t/2,"B",D860&gt;=t/4,"A",TRUE,"S"))</f>
        <v/>
      </c>
    </row>
    <row r="861" spans="5:5">
      <c r="E861" s="5">
        <f>IF(OR(D861="",t=""),"",_xlfn.IFS(D861&gt;=t,"C",D861&gt;=t/2,"B",D861&gt;=t/4,"A",TRUE,"S"))</f>
        <v/>
      </c>
    </row>
    <row r="862" spans="5:5">
      <c r="E862" s="5">
        <f>IF(OR(D862="",t=""),"",_xlfn.IFS(D862&gt;=t,"C",D862&gt;=t/2,"B",D862&gt;=t/4,"A",TRUE,"S"))</f>
        <v/>
      </c>
    </row>
    <row r="863" spans="5:5">
      <c r="E863" s="5">
        <f>IF(OR(D863="",t=""),"",_xlfn.IFS(D863&gt;=t,"C",D863&gt;=t/2,"B",D863&gt;=t/4,"A",TRUE,"S"))</f>
        <v/>
      </c>
    </row>
    <row r="864" spans="5:5">
      <c r="E864" s="5">
        <f>IF(OR(D864="",t=""),"",_xlfn.IFS(D864&gt;=t,"C",D864&gt;=t/2,"B",D864&gt;=t/4,"A",TRUE,"S"))</f>
        <v/>
      </c>
    </row>
    <row r="865" spans="5:5">
      <c r="E865" s="5">
        <f>IF(OR(D865="",t=""),"",_xlfn.IFS(D865&gt;=t,"C",D865&gt;=t/2,"B",D865&gt;=t/4,"A",TRUE,"S"))</f>
        <v/>
      </c>
    </row>
    <row r="866" spans="5:5">
      <c r="E866" s="5">
        <f>IF(OR(D866="",t=""),"",_xlfn.IFS(D866&gt;=t,"C",D866&gt;=t/2,"B",D866&gt;=t/4,"A",TRUE,"S"))</f>
        <v/>
      </c>
    </row>
    <row r="867" spans="5:5">
      <c r="E867" s="5">
        <f>IF(OR(D867="",t=""),"",_xlfn.IFS(D867&gt;=t,"C",D867&gt;=t/2,"B",D867&gt;=t/4,"A",TRUE,"S"))</f>
        <v/>
      </c>
    </row>
    <row r="868" spans="5:5">
      <c r="E868" s="5">
        <f>IF(OR(D868="",t=""),"",_xlfn.IFS(D868&gt;=t,"C",D868&gt;=t/2,"B",D868&gt;=t/4,"A",TRUE,"S"))</f>
        <v/>
      </c>
    </row>
    <row r="869" spans="5:5">
      <c r="E869" s="5">
        <f>IF(OR(D869="",t=""),"",_xlfn.IFS(D869&gt;=t,"C",D869&gt;=t/2,"B",D869&gt;=t/4,"A",TRUE,"S"))</f>
        <v/>
      </c>
    </row>
    <row r="870" spans="5:5">
      <c r="E870" s="5">
        <f>IF(OR(D870="",t=""),"",_xlfn.IFS(D870&gt;=t,"C",D870&gt;=t/2,"B",D870&gt;=t/4,"A",TRUE,"S"))</f>
        <v/>
      </c>
    </row>
    <row r="871" spans="5:5">
      <c r="E871" s="5">
        <f>IF(OR(D871="",t=""),"",_xlfn.IFS(D871&gt;=t,"C",D871&gt;=t/2,"B",D871&gt;=t/4,"A",TRUE,"S"))</f>
        <v/>
      </c>
    </row>
    <row r="872" spans="5:5">
      <c r="E872" s="5">
        <f>IF(OR(D872="",t=""),"",_xlfn.IFS(D872&gt;=t,"C",D872&gt;=t/2,"B",D872&gt;=t/4,"A",TRUE,"S"))</f>
        <v/>
      </c>
    </row>
    <row r="873" spans="5:5">
      <c r="E873" s="5">
        <f>IF(OR(D873="",t=""),"",_xlfn.IFS(D873&gt;=t,"C",D873&gt;=t/2,"B",D873&gt;=t/4,"A",TRUE,"S"))</f>
        <v/>
      </c>
    </row>
    <row r="874" spans="5:5">
      <c r="E874" s="5">
        <f>IF(OR(D874="",t=""),"",_xlfn.IFS(D874&gt;=t,"C",D874&gt;=t/2,"B",D874&gt;=t/4,"A",TRUE,"S"))</f>
        <v/>
      </c>
    </row>
    <row r="875" spans="5:5">
      <c r="E875" s="5">
        <f>IF(OR(D875="",t=""),"",_xlfn.IFS(D875&gt;=t,"C",D875&gt;=t/2,"B",D875&gt;=t/4,"A",TRUE,"S"))</f>
        <v/>
      </c>
    </row>
    <row r="876" spans="5:5">
      <c r="E876" s="5">
        <f>IF(OR(D876="",t=""),"",_xlfn.IFS(D876&gt;=t,"C",D876&gt;=t/2,"B",D876&gt;=t/4,"A",TRUE,"S"))</f>
        <v/>
      </c>
    </row>
    <row r="877" spans="5:5">
      <c r="E877" s="5">
        <f>IF(OR(D877="",t=""),"",_xlfn.IFS(D877&gt;=t,"C",D877&gt;=t/2,"B",D877&gt;=t/4,"A",TRUE,"S"))</f>
        <v/>
      </c>
    </row>
    <row r="878" spans="5:5">
      <c r="E878" s="5">
        <f>IF(OR(D878="",t=""),"",_xlfn.IFS(D878&gt;=t,"C",D878&gt;=t/2,"B",D878&gt;=t/4,"A",TRUE,"S"))</f>
        <v/>
      </c>
    </row>
    <row r="879" spans="5:5">
      <c r="E879" s="5">
        <f>IF(OR(D879="",t=""),"",_xlfn.IFS(D879&gt;=t,"C",D879&gt;=t/2,"B",D879&gt;=t/4,"A",TRUE,"S"))</f>
        <v/>
      </c>
    </row>
    <row r="880" spans="5:5">
      <c r="E880" s="5">
        <f>IF(OR(D880="",t=""),"",_xlfn.IFS(D880&gt;=t,"C",D880&gt;=t/2,"B",D880&gt;=t/4,"A",TRUE,"S"))</f>
        <v/>
      </c>
    </row>
    <row r="881" spans="5:5">
      <c r="E881" s="5">
        <f>IF(OR(D881="",t=""),"",_xlfn.IFS(D881&gt;=t,"C",D881&gt;=t/2,"B",D881&gt;=t/4,"A",TRUE,"S"))</f>
        <v/>
      </c>
    </row>
    <row r="882" spans="5:5">
      <c r="E882" s="5">
        <f>IF(OR(D882="",t=""),"",_xlfn.IFS(D882&gt;=t,"C",D882&gt;=t/2,"B",D882&gt;=t/4,"A",TRUE,"S"))</f>
        <v/>
      </c>
    </row>
    <row r="883" spans="5:5">
      <c r="E883" s="5">
        <f>IF(OR(D883="",t=""),"",_xlfn.IFS(D883&gt;=t,"C",D883&gt;=t/2,"B",D883&gt;=t/4,"A",TRUE,"S"))</f>
        <v/>
      </c>
    </row>
    <row r="884" spans="5:5">
      <c r="E884" s="5">
        <f>IF(OR(D884="",t=""),"",_xlfn.IFS(D884&gt;=t,"C",D884&gt;=t/2,"B",D884&gt;=t/4,"A",TRUE,"S"))</f>
        <v/>
      </c>
    </row>
    <row r="885" spans="5:5">
      <c r="E885" s="5">
        <f>IF(OR(D885="",t=""),"",_xlfn.IFS(D885&gt;=t,"C",D885&gt;=t/2,"B",D885&gt;=t/4,"A",TRUE,"S"))</f>
        <v/>
      </c>
    </row>
    <row r="886" spans="5:5">
      <c r="E886" s="5">
        <f>IF(OR(D886="",t=""),"",_xlfn.IFS(D886&gt;=t,"C",D886&gt;=t/2,"B",D886&gt;=t/4,"A",TRUE,"S"))</f>
        <v/>
      </c>
    </row>
    <row r="887" spans="5:5">
      <c r="E887" s="5">
        <f>IF(OR(D887="",t=""),"",_xlfn.IFS(D887&gt;=t,"C",D887&gt;=t/2,"B",D887&gt;=t/4,"A",TRUE,"S"))</f>
        <v/>
      </c>
    </row>
    <row r="888" spans="5:5">
      <c r="E888" s="5">
        <f>IF(OR(D888="",t=""),"",_xlfn.IFS(D888&gt;=t,"C",D888&gt;=t/2,"B",D888&gt;=t/4,"A",TRUE,"S"))</f>
        <v/>
      </c>
    </row>
    <row r="889" spans="5:5">
      <c r="E889" s="5">
        <f>IF(OR(D889="",t=""),"",_xlfn.IFS(D889&gt;=t,"C",D889&gt;=t/2,"B",D889&gt;=t/4,"A",TRUE,"S"))</f>
        <v/>
      </c>
    </row>
    <row r="890" spans="5:5">
      <c r="E890" s="5">
        <f>IF(OR(D890="",t=""),"",_xlfn.IFS(D890&gt;=t,"C",D890&gt;=t/2,"B",D890&gt;=t/4,"A",TRUE,"S"))</f>
        <v/>
      </c>
    </row>
    <row r="891" spans="5:5">
      <c r="E891" s="5">
        <f>IF(OR(D891="",t=""),"",_xlfn.IFS(D891&gt;=t,"C",D891&gt;=t/2,"B",D891&gt;=t/4,"A",TRUE,"S"))</f>
        <v/>
      </c>
    </row>
    <row r="892" spans="5:5">
      <c r="E892" s="5">
        <f>IF(OR(D892="",t=""),"",_xlfn.IFS(D892&gt;=t,"C",D892&gt;=t/2,"B",D892&gt;=t/4,"A",TRUE,"S"))</f>
        <v/>
      </c>
    </row>
    <row r="893" spans="5:5">
      <c r="E893" s="5">
        <f>IF(OR(D893="",t=""),"",_xlfn.IFS(D893&gt;=t,"C",D893&gt;=t/2,"B",D893&gt;=t/4,"A",TRUE,"S"))</f>
        <v/>
      </c>
    </row>
    <row r="894" spans="5:5">
      <c r="E894" s="5">
        <f>IF(OR(D894="",t=""),"",_xlfn.IFS(D894&gt;=t,"C",D894&gt;=t/2,"B",D894&gt;=t/4,"A",TRUE,"S"))</f>
        <v/>
      </c>
    </row>
    <row r="895" spans="5:5">
      <c r="E895" s="5">
        <f>IF(OR(D895="",t=""),"",_xlfn.IFS(D895&gt;=t,"C",D895&gt;=t/2,"B",D895&gt;=t/4,"A",TRUE,"S"))</f>
        <v/>
      </c>
    </row>
    <row r="896" spans="5:5">
      <c r="E896" s="5">
        <f>IF(OR(D896="",t=""),"",_xlfn.IFS(D896&gt;=t,"C",D896&gt;=t/2,"B",D896&gt;=t/4,"A",TRUE,"S"))</f>
        <v/>
      </c>
    </row>
    <row r="897" spans="5:5">
      <c r="E897" s="5">
        <f>IF(OR(D897="",t=""),"",_xlfn.IFS(D897&gt;=t,"C",D897&gt;=t/2,"B",D897&gt;=t/4,"A",TRUE,"S"))</f>
        <v/>
      </c>
    </row>
    <row r="898" spans="5:5">
      <c r="E898" s="5">
        <f>IF(OR(D898="",t=""),"",_xlfn.IFS(D898&gt;=t,"C",D898&gt;=t/2,"B",D898&gt;=t/4,"A",TRUE,"S"))</f>
        <v/>
      </c>
    </row>
    <row r="899" spans="5:5">
      <c r="E899" s="5">
        <f>IF(OR(D899="",t=""),"",_xlfn.IFS(D899&gt;=t,"C",D899&gt;=t/2,"B",D899&gt;=t/4,"A",TRUE,"S"))</f>
        <v/>
      </c>
    </row>
    <row r="900" spans="5:5">
      <c r="E900" s="5">
        <f>IF(OR(D900="",t=""),"",_xlfn.IFS(D900&gt;=t,"C",D900&gt;=t/2,"B",D900&gt;=t/4,"A",TRUE,"S"))</f>
        <v/>
      </c>
    </row>
    <row r="901" spans="5:5">
      <c r="E901" s="5">
        <f>IF(OR(D901="",t=""),"",_xlfn.IFS(D901&gt;=t,"C",D901&gt;=t/2,"B",D901&gt;=t/4,"A",TRUE,"S"))</f>
        <v/>
      </c>
    </row>
    <row r="902" spans="5:5">
      <c r="E902" s="5">
        <f>IF(OR(D902="",t=""),"",_xlfn.IFS(D902&gt;=t,"C",D902&gt;=t/2,"B",D902&gt;=t/4,"A",TRUE,"S"))</f>
        <v/>
      </c>
    </row>
    <row r="903" spans="5:5">
      <c r="E903" s="5">
        <f>IF(OR(D903="",t=""),"",_xlfn.IFS(D903&gt;=t,"C",D903&gt;=t/2,"B",D903&gt;=t/4,"A",TRUE,"S"))</f>
        <v/>
      </c>
    </row>
    <row r="904" spans="5:5">
      <c r="E904" s="5">
        <f>IF(OR(D904="",t=""),"",_xlfn.IFS(D904&gt;=t,"C",D904&gt;=t/2,"B",D904&gt;=t/4,"A",TRUE,"S"))</f>
        <v/>
      </c>
    </row>
    <row r="905" spans="5:5">
      <c r="E905" s="5">
        <f>IF(OR(D905="",t=""),"",_xlfn.IFS(D905&gt;=t,"C",D905&gt;=t/2,"B",D905&gt;=t/4,"A",TRUE,"S"))</f>
        <v/>
      </c>
    </row>
    <row r="906" spans="5:5">
      <c r="E906" s="5">
        <f>IF(OR(D906="",t=""),"",_xlfn.IFS(D906&gt;=t,"C",D906&gt;=t/2,"B",D906&gt;=t/4,"A",TRUE,"S"))</f>
        <v/>
      </c>
    </row>
    <row r="907" spans="5:5">
      <c r="E907" s="5">
        <f>IF(OR(D907="",t=""),"",_xlfn.IFS(D907&gt;=t,"C",D907&gt;=t/2,"B",D907&gt;=t/4,"A",TRUE,"S"))</f>
        <v/>
      </c>
    </row>
    <row r="908" spans="5:5">
      <c r="E908" s="5">
        <f>IF(OR(D908="",t=""),"",_xlfn.IFS(D908&gt;=t,"C",D908&gt;=t/2,"B",D908&gt;=t/4,"A",TRUE,"S"))</f>
        <v/>
      </c>
    </row>
    <row r="909" spans="5:5">
      <c r="E909" s="5">
        <f>IF(OR(D909="",t=""),"",_xlfn.IFS(D909&gt;=t,"C",D909&gt;=t/2,"B",D909&gt;=t/4,"A",TRUE,"S"))</f>
        <v/>
      </c>
    </row>
    <row r="910" spans="5:5">
      <c r="E910" s="5">
        <f>IF(OR(D910="",t=""),"",_xlfn.IFS(D910&gt;=t,"C",D910&gt;=t/2,"B",D910&gt;=t/4,"A",TRUE,"S"))</f>
        <v/>
      </c>
    </row>
    <row r="911" spans="5:5">
      <c r="E911" s="5">
        <f>IF(OR(D911="",t=""),"",_xlfn.IFS(D911&gt;=t,"C",D911&gt;=t/2,"B",D911&gt;=t/4,"A",TRUE,"S"))</f>
        <v/>
      </c>
    </row>
    <row r="912" spans="5:5">
      <c r="E912" s="5">
        <f>IF(OR(D912="",t=""),"",_xlfn.IFS(D912&gt;=t,"C",D912&gt;=t/2,"B",D912&gt;=t/4,"A",TRUE,"S"))</f>
        <v/>
      </c>
    </row>
    <row r="913" spans="5:5">
      <c r="E913" s="5">
        <f>IF(OR(D913="",t=""),"",_xlfn.IFS(D913&gt;=t,"C",D913&gt;=t/2,"B",D913&gt;=t/4,"A",TRUE,"S"))</f>
        <v/>
      </c>
    </row>
    <row r="914" spans="5:5">
      <c r="E914" s="5">
        <f>IF(OR(D914="",t=""),"",_xlfn.IFS(D914&gt;=t,"C",D914&gt;=t/2,"B",D914&gt;=t/4,"A",TRUE,"S"))</f>
        <v/>
      </c>
    </row>
    <row r="915" spans="5:5">
      <c r="E915" s="5">
        <f>IF(OR(D915="",t=""),"",_xlfn.IFS(D915&gt;=t,"C",D915&gt;=t/2,"B",D915&gt;=t/4,"A",TRUE,"S"))</f>
        <v/>
      </c>
    </row>
    <row r="916" spans="5:5">
      <c r="E916" s="5">
        <f>IF(OR(D916="",t=""),"",_xlfn.IFS(D916&gt;=t,"C",D916&gt;=t/2,"B",D916&gt;=t/4,"A",TRUE,"S"))</f>
        <v/>
      </c>
    </row>
    <row r="917" spans="5:5">
      <c r="E917" s="5">
        <f>IF(OR(D917="",t=""),"",_xlfn.IFS(D917&gt;=t,"C",D917&gt;=t/2,"B",D917&gt;=t/4,"A",TRUE,"S"))</f>
        <v/>
      </c>
    </row>
    <row r="918" spans="5:5">
      <c r="E918" s="5">
        <f>IF(OR(D918="",t=""),"",_xlfn.IFS(D918&gt;=t,"C",D918&gt;=t/2,"B",D918&gt;=t/4,"A",TRUE,"S"))</f>
        <v/>
      </c>
    </row>
    <row r="919" spans="5:5">
      <c r="E919" s="5">
        <f>IF(OR(D919="",t=""),"",_xlfn.IFS(D919&gt;=t,"C",D919&gt;=t/2,"B",D919&gt;=t/4,"A",TRUE,"S"))</f>
        <v/>
      </c>
    </row>
    <row r="920" spans="5:5">
      <c r="E920" s="5">
        <f>IF(OR(D920="",t=""),"",_xlfn.IFS(D920&gt;=t,"C",D920&gt;=t/2,"B",D920&gt;=t/4,"A",TRUE,"S"))</f>
        <v/>
      </c>
    </row>
    <row r="921" spans="5:5">
      <c r="E921" s="5">
        <f>IF(OR(D921="",t=""),"",_xlfn.IFS(D921&gt;=t,"C",D921&gt;=t/2,"B",D921&gt;=t/4,"A",TRUE,"S"))</f>
        <v/>
      </c>
    </row>
    <row r="922" spans="5:5">
      <c r="E922" s="5">
        <f>IF(OR(D922="",t=""),"",_xlfn.IFS(D922&gt;=t,"C",D922&gt;=t/2,"B",D922&gt;=t/4,"A",TRUE,"S"))</f>
        <v/>
      </c>
    </row>
    <row r="923" spans="5:5">
      <c r="E923" s="5">
        <f>IF(OR(D923="",t=""),"",_xlfn.IFS(D923&gt;=t,"C",D923&gt;=t/2,"B",D923&gt;=t/4,"A",TRUE,"S"))</f>
        <v/>
      </c>
    </row>
    <row r="924" spans="5:5">
      <c r="E924" s="5">
        <f>IF(OR(D924="",t=""),"",_xlfn.IFS(D924&gt;=t,"C",D924&gt;=t/2,"B",D924&gt;=t/4,"A",TRUE,"S"))</f>
        <v/>
      </c>
    </row>
    <row r="925" spans="5:5">
      <c r="E925" s="5">
        <f>IF(OR(D925="",t=""),"",_xlfn.IFS(D925&gt;=t,"C",D925&gt;=t/2,"B",D925&gt;=t/4,"A",TRUE,"S"))</f>
        <v/>
      </c>
    </row>
    <row r="926" spans="5:5">
      <c r="E926" s="5">
        <f>IF(OR(D926="",t=""),"",_xlfn.IFS(D926&gt;=t,"C",D926&gt;=t/2,"B",D926&gt;=t/4,"A",TRUE,"S"))</f>
        <v/>
      </c>
    </row>
    <row r="927" spans="5:5">
      <c r="E927" s="5">
        <f>IF(OR(D927="",t=""),"",_xlfn.IFS(D927&gt;=t,"C",D927&gt;=t/2,"B",D927&gt;=t/4,"A",TRUE,"S"))</f>
        <v/>
      </c>
    </row>
    <row r="928" spans="5:5">
      <c r="E928" s="5">
        <f>IF(OR(D928="",t=""),"",_xlfn.IFS(D928&gt;=t,"C",D928&gt;=t/2,"B",D928&gt;=t/4,"A",TRUE,"S"))</f>
        <v/>
      </c>
    </row>
    <row r="929" spans="5:5">
      <c r="E929" s="5">
        <f>IF(OR(D929="",t=""),"",_xlfn.IFS(D929&gt;=t,"C",D929&gt;=t/2,"B",D929&gt;=t/4,"A",TRUE,"S"))</f>
        <v/>
      </c>
    </row>
    <row r="930" spans="5:5">
      <c r="E930" s="5">
        <f>IF(OR(D930="",t=""),"",_xlfn.IFS(D930&gt;=t,"C",D930&gt;=t/2,"B",D930&gt;=t/4,"A",TRUE,"S"))</f>
        <v/>
      </c>
    </row>
    <row r="931" spans="5:5">
      <c r="E931" s="5">
        <f>IF(OR(D931="",t=""),"",_xlfn.IFS(D931&gt;=t,"C",D931&gt;=t/2,"B",D931&gt;=t/4,"A",TRUE,"S"))</f>
        <v/>
      </c>
    </row>
    <row r="932" spans="5:5">
      <c r="E932" s="5">
        <f>IF(OR(D932="",t=""),"",_xlfn.IFS(D932&gt;=t,"C",D932&gt;=t/2,"B",D932&gt;=t/4,"A",TRUE,"S"))</f>
        <v/>
      </c>
    </row>
    <row r="933" spans="5:5">
      <c r="E933" s="5">
        <f>IF(OR(D933="",t=""),"",_xlfn.IFS(D933&gt;=t,"C",D933&gt;=t/2,"B",D933&gt;=t/4,"A",TRUE,"S"))</f>
        <v/>
      </c>
    </row>
    <row r="934" spans="5:5">
      <c r="E934" s="5">
        <f>IF(OR(D934="",t=""),"",_xlfn.IFS(D934&gt;=t,"C",D934&gt;=t/2,"B",D934&gt;=t/4,"A",TRUE,"S"))</f>
        <v/>
      </c>
    </row>
    <row r="935" spans="5:5">
      <c r="E935" s="5">
        <f>IF(OR(D935="",t=""),"",_xlfn.IFS(D935&gt;=t,"C",D935&gt;=t/2,"B",D935&gt;=t/4,"A",TRUE,"S"))</f>
        <v/>
      </c>
    </row>
    <row r="936" spans="5:5">
      <c r="E936" s="5">
        <f>IF(OR(D936="",t=""),"",_xlfn.IFS(D936&gt;=t,"C",D936&gt;=t/2,"B",D936&gt;=t/4,"A",TRUE,"S"))</f>
        <v/>
      </c>
    </row>
    <row r="937" spans="5:5">
      <c r="E937" s="5">
        <f>IF(OR(D937="",t=""),"",_xlfn.IFS(D937&gt;=t,"C",D937&gt;=t/2,"B",D937&gt;=t/4,"A",TRUE,"S"))</f>
        <v/>
      </c>
    </row>
    <row r="938" spans="5:5">
      <c r="E938" s="5">
        <f>IF(OR(D938="",t=""),"",_xlfn.IFS(D938&gt;=t,"C",D938&gt;=t/2,"B",D938&gt;=t/4,"A",TRUE,"S"))</f>
        <v/>
      </c>
    </row>
    <row r="939" spans="5:5">
      <c r="E939" s="5">
        <f>IF(OR(D939="",t=""),"",_xlfn.IFS(D939&gt;=t,"C",D939&gt;=t/2,"B",D939&gt;=t/4,"A",TRUE,"S"))</f>
        <v/>
      </c>
    </row>
    <row r="940" spans="5:5">
      <c r="E940" s="5">
        <f>IF(OR(D940="",t=""),"",_xlfn.IFS(D940&gt;=t,"C",D940&gt;=t/2,"B",D940&gt;=t/4,"A",TRUE,"S"))</f>
        <v/>
      </c>
    </row>
    <row r="941" spans="5:5">
      <c r="E941" s="5">
        <f>IF(OR(D941="",t=""),"",_xlfn.IFS(D941&gt;=t,"C",D941&gt;=t/2,"B",D941&gt;=t/4,"A",TRUE,"S"))</f>
        <v/>
      </c>
    </row>
    <row r="942" spans="5:5">
      <c r="E942" s="5">
        <f>IF(OR(D942="",t=""),"",_xlfn.IFS(D942&gt;=t,"C",D942&gt;=t/2,"B",D942&gt;=t/4,"A",TRUE,"S"))</f>
        <v/>
      </c>
    </row>
    <row r="943" spans="5:5">
      <c r="E943" s="5">
        <f>IF(OR(D943="",t=""),"",_xlfn.IFS(D943&gt;=t,"C",D943&gt;=t/2,"B",D943&gt;=t/4,"A",TRUE,"S"))</f>
        <v/>
      </c>
    </row>
    <row r="944" spans="5:5">
      <c r="E944" s="5">
        <f>IF(OR(D944="",t=""),"",_xlfn.IFS(D944&gt;=t,"C",D944&gt;=t/2,"B",D944&gt;=t/4,"A",TRUE,"S"))</f>
        <v/>
      </c>
    </row>
    <row r="945" spans="5:5">
      <c r="E945" s="5">
        <f>IF(OR(D945="",t=""),"",_xlfn.IFS(D945&gt;=t,"C",D945&gt;=t/2,"B",D945&gt;=t/4,"A",TRUE,"S"))</f>
        <v/>
      </c>
    </row>
    <row r="946" spans="5:5">
      <c r="E946" s="5">
        <f>IF(OR(D946="",t=""),"",_xlfn.IFS(D946&gt;=t,"C",D946&gt;=t/2,"B",D946&gt;=t/4,"A",TRUE,"S"))</f>
        <v/>
      </c>
    </row>
    <row r="947" spans="5:5">
      <c r="E947" s="5">
        <f>IF(OR(D947="",t=""),"",_xlfn.IFS(D947&gt;=t,"C",D947&gt;=t/2,"B",D947&gt;=t/4,"A",TRUE,"S"))</f>
        <v/>
      </c>
    </row>
    <row r="948" spans="5:5">
      <c r="E948" s="5">
        <f>IF(OR(D948="",t=""),"",_xlfn.IFS(D948&gt;=t,"C",D948&gt;=t/2,"B",D948&gt;=t/4,"A",TRUE,"S"))</f>
        <v/>
      </c>
    </row>
    <row r="949" spans="5:5">
      <c r="E949" s="5">
        <f>IF(OR(D949="",t=""),"",_xlfn.IFS(D949&gt;=t,"C",D949&gt;=t/2,"B",D949&gt;=t/4,"A",TRUE,"S"))</f>
        <v/>
      </c>
    </row>
    <row r="950" spans="5:5">
      <c r="E950" s="5">
        <f>IF(OR(D950="",t=""),"",_xlfn.IFS(D950&gt;=t,"C",D950&gt;=t/2,"B",D950&gt;=t/4,"A",TRUE,"S"))</f>
        <v/>
      </c>
    </row>
    <row r="951" spans="5:5">
      <c r="E951" s="5">
        <f>IF(OR(D951="",t=""),"",_xlfn.IFS(D951&gt;=t,"C",D951&gt;=t/2,"B",D951&gt;=t/4,"A",TRUE,"S"))</f>
        <v/>
      </c>
    </row>
    <row r="952" spans="5:5">
      <c r="E952" s="5">
        <f>IF(OR(D952="",t=""),"",_xlfn.IFS(D952&gt;=t,"C",D952&gt;=t/2,"B",D952&gt;=t/4,"A",TRUE,"S"))</f>
        <v/>
      </c>
    </row>
    <row r="953" spans="5:5">
      <c r="E953" s="5">
        <f>IF(OR(D953="",t=""),"",_xlfn.IFS(D953&gt;=t,"C",D953&gt;=t/2,"B",D953&gt;=t/4,"A",TRUE,"S"))</f>
        <v/>
      </c>
    </row>
    <row r="954" spans="5:5">
      <c r="E954" s="5">
        <f>IF(OR(D954="",t=""),"",_xlfn.IFS(D954&gt;=t,"C",D954&gt;=t/2,"B",D954&gt;=t/4,"A",TRUE,"S"))</f>
        <v/>
      </c>
    </row>
    <row r="955" spans="5:5">
      <c r="E955" s="5">
        <f>IF(OR(D955="",t=""),"",_xlfn.IFS(D955&gt;=t,"C",D955&gt;=t/2,"B",D955&gt;=t/4,"A",TRUE,"S"))</f>
        <v/>
      </c>
    </row>
    <row r="956" spans="5:5">
      <c r="E956" s="5">
        <f>IF(OR(D956="",t=""),"",_xlfn.IFS(D956&gt;=t,"C",D956&gt;=t/2,"B",D956&gt;=t/4,"A",TRUE,"S"))</f>
        <v/>
      </c>
    </row>
    <row r="957" spans="5:5">
      <c r="E957" s="5">
        <f>IF(OR(D957="",t=""),"",_xlfn.IFS(D957&gt;=t,"C",D957&gt;=t/2,"B",D957&gt;=t/4,"A",TRUE,"S"))</f>
        <v/>
      </c>
    </row>
    <row r="958" spans="5:5">
      <c r="E958" s="5">
        <f>IF(OR(D958="",t=""),"",_xlfn.IFS(D958&gt;=t,"C",D958&gt;=t/2,"B",D958&gt;=t/4,"A",TRUE,"S"))</f>
        <v/>
      </c>
    </row>
    <row r="959" spans="5:5">
      <c r="E959" s="5">
        <f>IF(OR(D959="",t=""),"",_xlfn.IFS(D959&gt;=t,"C",D959&gt;=t/2,"B",D959&gt;=t/4,"A",TRUE,"S"))</f>
        <v/>
      </c>
    </row>
    <row r="960" spans="5:5">
      <c r="E960" s="5">
        <f>IF(OR(D960="",t=""),"",_xlfn.IFS(D960&gt;=t,"C",D960&gt;=t/2,"B",D960&gt;=t/4,"A",TRUE,"S"))</f>
        <v/>
      </c>
    </row>
    <row r="961" spans="5:5">
      <c r="E961" s="5">
        <f>IF(OR(D961="",t=""),"",_xlfn.IFS(D961&gt;=t,"C",D961&gt;=t/2,"B",D961&gt;=t/4,"A",TRUE,"S"))</f>
        <v/>
      </c>
    </row>
    <row r="962" spans="5:5">
      <c r="E962" s="5">
        <f>IF(OR(D962="",t=""),"",_xlfn.IFS(D962&gt;=t,"C",D962&gt;=t/2,"B",D962&gt;=t/4,"A",TRUE,"S"))</f>
        <v/>
      </c>
    </row>
    <row r="963" spans="5:5">
      <c r="E963" s="5">
        <f>IF(OR(D963="",t=""),"",_xlfn.IFS(D963&gt;=t,"C",D963&gt;=t/2,"B",D963&gt;=t/4,"A",TRUE,"S"))</f>
        <v/>
      </c>
    </row>
    <row r="964" spans="5:5">
      <c r="E964" s="5">
        <f>IF(OR(D964="",t=""),"",_xlfn.IFS(D964&gt;=t,"C",D964&gt;=t/2,"B",D964&gt;=t/4,"A",TRUE,"S"))</f>
        <v/>
      </c>
    </row>
    <row r="965" spans="5:5">
      <c r="E965" s="5">
        <f>IF(OR(D965="",t=""),"",_xlfn.IFS(D965&gt;=t,"C",D965&gt;=t/2,"B",D965&gt;=t/4,"A",TRUE,"S"))</f>
        <v/>
      </c>
    </row>
    <row r="966" spans="5:5">
      <c r="E966" s="5">
        <f>IF(OR(D966="",t=""),"",_xlfn.IFS(D966&gt;=t,"C",D966&gt;=t/2,"B",D966&gt;=t/4,"A",TRUE,"S"))</f>
        <v/>
      </c>
    </row>
    <row r="967" spans="5:5">
      <c r="E967" s="5">
        <f>IF(OR(D967="",t=""),"",_xlfn.IFS(D967&gt;=t,"C",D967&gt;=t/2,"B",D967&gt;=t/4,"A",TRUE,"S"))</f>
        <v/>
      </c>
    </row>
    <row r="968" spans="5:5">
      <c r="E968" s="5">
        <f>IF(OR(D968="",t=""),"",_xlfn.IFS(D968&gt;=t,"C",D968&gt;=t/2,"B",D968&gt;=t/4,"A",TRUE,"S"))</f>
        <v/>
      </c>
    </row>
    <row r="969" spans="5:5">
      <c r="E969" s="5">
        <f>IF(OR(D969="",t=""),"",_xlfn.IFS(D969&gt;=t,"C",D969&gt;=t/2,"B",D969&gt;=t/4,"A",TRUE,"S"))</f>
        <v/>
      </c>
    </row>
    <row r="970" spans="5:5">
      <c r="E970" s="5">
        <f>IF(OR(D970="",t=""),"",_xlfn.IFS(D970&gt;=t,"C",D970&gt;=t/2,"B",D970&gt;=t/4,"A",TRUE,"S"))</f>
        <v/>
      </c>
    </row>
    <row r="971" spans="5:5">
      <c r="E971" s="5">
        <f>IF(OR(D971="",t=""),"",_xlfn.IFS(D971&gt;=t,"C",D971&gt;=t/2,"B",D971&gt;=t/4,"A",TRUE,"S"))</f>
        <v/>
      </c>
    </row>
    <row r="972" spans="5:5">
      <c r="E972" s="5">
        <f>IF(OR(D972="",t=""),"",_xlfn.IFS(D972&gt;=t,"C",D972&gt;=t/2,"B",D972&gt;=t/4,"A",TRUE,"S"))</f>
        <v/>
      </c>
    </row>
    <row r="973" spans="5:5">
      <c r="E973" s="5">
        <f>IF(OR(D973="",t=""),"",_xlfn.IFS(D973&gt;=t,"C",D973&gt;=t/2,"B",D973&gt;=t/4,"A",TRUE,"S"))</f>
        <v/>
      </c>
    </row>
    <row r="974" spans="5:5">
      <c r="E974" s="5">
        <f>IF(OR(D974="",t=""),"",_xlfn.IFS(D974&gt;=t,"C",D974&gt;=t/2,"B",D974&gt;=t/4,"A",TRUE,"S"))</f>
        <v/>
      </c>
    </row>
    <row r="975" spans="5:5">
      <c r="E975" s="5">
        <f>IF(OR(D975="",t=""),"",_xlfn.IFS(D975&gt;=t,"C",D975&gt;=t/2,"B",D975&gt;=t/4,"A",TRUE,"S"))</f>
        <v/>
      </c>
    </row>
    <row r="976" spans="5:5">
      <c r="E976" s="5">
        <f>IF(OR(D976="",t=""),"",_xlfn.IFS(D976&gt;=t,"C",D976&gt;=t/2,"B",D976&gt;=t/4,"A",TRUE,"S"))</f>
        <v/>
      </c>
    </row>
    <row r="977" spans="5:5">
      <c r="E977" s="5">
        <f>IF(OR(D977="",t=""),"",_xlfn.IFS(D977&gt;=t,"C",D977&gt;=t/2,"B",D977&gt;=t/4,"A",TRUE,"S"))</f>
        <v/>
      </c>
    </row>
    <row r="978" spans="5:5">
      <c r="E978" s="5">
        <f>IF(OR(D978="",t=""),"",_xlfn.IFS(D978&gt;=t,"C",D978&gt;=t/2,"B",D978&gt;=t/4,"A",TRUE,"S"))</f>
        <v/>
      </c>
    </row>
    <row r="979" spans="5:5">
      <c r="E979" s="5">
        <f>IF(OR(D979="",t=""),"",_xlfn.IFS(D979&gt;=t,"C",D979&gt;=t/2,"B",D979&gt;=t/4,"A",TRUE,"S"))</f>
        <v/>
      </c>
    </row>
    <row r="980" spans="5:5">
      <c r="E980" s="5">
        <f>IF(OR(D980="",t=""),"",_xlfn.IFS(D980&gt;=t,"C",D980&gt;=t/2,"B",D980&gt;=t/4,"A",TRUE,"S"))</f>
        <v/>
      </c>
    </row>
    <row r="981" spans="5:5">
      <c r="E981" s="5">
        <f>IF(OR(D981="",t=""),"",_xlfn.IFS(D981&gt;=t,"C",D981&gt;=t/2,"B",D981&gt;=t/4,"A",TRUE,"S"))</f>
        <v/>
      </c>
    </row>
    <row r="982" spans="5:5">
      <c r="E982" s="5">
        <f>IF(OR(D982="",t=""),"",_xlfn.IFS(D982&gt;=t,"C",D982&gt;=t/2,"B",D982&gt;=t/4,"A",TRUE,"S"))</f>
        <v/>
      </c>
    </row>
    <row r="983" spans="5:5">
      <c r="E983" s="5">
        <f>IF(OR(D983="",t=""),"",_xlfn.IFS(D983&gt;=t,"C",D983&gt;=t/2,"B",D983&gt;=t/4,"A",TRUE,"S"))</f>
        <v/>
      </c>
    </row>
    <row r="984" spans="5:5">
      <c r="E984" s="5">
        <f>IF(OR(D984="",t=""),"",_xlfn.IFS(D984&gt;=t,"C",D984&gt;=t/2,"B",D984&gt;=t/4,"A",TRUE,"S"))</f>
        <v/>
      </c>
    </row>
    <row r="985" spans="5:5">
      <c r="E985" s="5">
        <f>IF(OR(D985="",t=""),"",_xlfn.IFS(D985&gt;=t,"C",D985&gt;=t/2,"B",D985&gt;=t/4,"A",TRUE,"S"))</f>
        <v/>
      </c>
    </row>
    <row r="986" spans="5:5">
      <c r="E986" s="5">
        <f>IF(OR(D986="",t=""),"",_xlfn.IFS(D986&gt;=t,"C",D986&gt;=t/2,"B",D986&gt;=t/4,"A",TRUE,"S"))</f>
        <v/>
      </c>
    </row>
    <row r="987" spans="5:5">
      <c r="E987" s="5">
        <f>IF(OR(D987="",t=""),"",_xlfn.IFS(D987&gt;=t,"C",D987&gt;=t/2,"B",D987&gt;=t/4,"A",TRUE,"S"))</f>
        <v/>
      </c>
    </row>
    <row r="988" spans="5:5">
      <c r="E988" s="5">
        <f>IF(OR(D988="",t=""),"",_xlfn.IFS(D988&gt;=t,"C",D988&gt;=t/2,"B",D988&gt;=t/4,"A",TRUE,"S"))</f>
        <v/>
      </c>
    </row>
    <row r="989" spans="5:5">
      <c r="E989" s="5">
        <f>IF(OR(D989="",t=""),"",_xlfn.IFS(D989&gt;=t,"C",D989&gt;=t/2,"B",D989&gt;=t/4,"A",TRUE,"S"))</f>
        <v/>
      </c>
    </row>
    <row r="990" spans="5:5">
      <c r="E990" s="5">
        <f>IF(OR(D990="",t=""),"",_xlfn.IFS(D990&gt;=t,"C",D990&gt;=t/2,"B",D990&gt;=t/4,"A",TRUE,"S"))</f>
        <v/>
      </c>
    </row>
    <row r="991" spans="5:5">
      <c r="E991" s="5">
        <f>IF(OR(D991="",t=""),"",_xlfn.IFS(D991&gt;=t,"C",D991&gt;=t/2,"B",D991&gt;=t/4,"A",TRUE,"S"))</f>
        <v/>
      </c>
    </row>
    <row r="992" spans="5:5">
      <c r="E992" s="5">
        <f>IF(OR(D992="",t=""),"",_xlfn.IFS(D992&gt;=t,"C",D992&gt;=t/2,"B",D992&gt;=t/4,"A",TRUE,"S"))</f>
        <v/>
      </c>
    </row>
    <row r="993" spans="5:5">
      <c r="E993" s="5">
        <f>IF(OR(D993="",t=""),"",_xlfn.IFS(D993&gt;=t,"C",D993&gt;=t/2,"B",D993&gt;=t/4,"A",TRUE,"S"))</f>
        <v/>
      </c>
    </row>
    <row r="994" spans="5:5">
      <c r="E994" s="5">
        <f>IF(OR(D994="",t=""),"",_xlfn.IFS(D994&gt;=t,"C",D994&gt;=t/2,"B",D994&gt;=t/4,"A",TRUE,"S"))</f>
        <v/>
      </c>
    </row>
    <row r="995" spans="5:5">
      <c r="E995" s="5">
        <f>IF(OR(D995="",t=""),"",_xlfn.IFS(D995&gt;=t,"C",D995&gt;=t/2,"B",D995&gt;=t/4,"A",TRUE,"S"))</f>
        <v/>
      </c>
    </row>
    <row r="996" spans="5:5">
      <c r="E996" s="5">
        <f>IF(OR(D996="",t=""),"",_xlfn.IFS(D996&gt;=t,"C",D996&gt;=t/2,"B",D996&gt;=t/4,"A",TRUE,"S"))</f>
        <v/>
      </c>
    </row>
    <row r="997" spans="5:5">
      <c r="E997" s="5">
        <f>IF(OR(D997="",t=""),"",_xlfn.IFS(D997&gt;=t,"C",D997&gt;=t/2,"B",D997&gt;=t/4,"A",TRUE,"S"))</f>
        <v/>
      </c>
    </row>
    <row r="998" spans="5:5">
      <c r="E998" s="5">
        <f>IF(OR(D998="",t=""),"",_xlfn.IFS(D998&gt;=t,"C",D998&gt;=t/2,"B",D998&gt;=t/4,"A",TRUE,"S"))</f>
        <v/>
      </c>
    </row>
    <row r="999" spans="5:5">
      <c r="E999" s="5">
        <f>IF(OR(D999="",t=""),"",_xlfn.IFS(D999&gt;=t,"C",D999&gt;=t/2,"B",D999&gt;=t/4,"A",TRUE,"S"))</f>
        <v/>
      </c>
    </row>
    <row r="1000" spans="5:5">
      <c r="E1000" s="5">
        <f>IF(OR(D1000="",t=""),"",_xlfn.IFS(D1000&gt;=t,"C",D1000&gt;=t/2,"B",D1000&gt;=t/4,"A",TRUE,"S"))</f>
        <v/>
      </c>
    </row>
    <row r="1001" spans="5:5">
      <c r="E1001" s="5">
        <f>IF(OR(D1001="",t=""),"",_xlfn.IFS(D1001&gt;=t,"C",D1001&gt;=t/2,"B",D1001&gt;=t/4,"A",TRUE,"S"))</f>
        <v/>
      </c>
    </row>
    <row r="1002" spans="5:5">
      <c r="E1002" s="5">
        <f>IF(OR(D1002="",t=""),"",_xlfn.IFS(D1002&gt;=t,"C",D1002&gt;=t/2,"B",D1002&gt;=t/4,"A",TRUE,"S"))</f>
        <v/>
      </c>
    </row>
    <row r="1003" spans="5:5">
      <c r="E1003" s="5">
        <f>IF(OR(D1003="",t=""),"",_xlfn.IFS(D1003&gt;=t,"C",D1003&gt;=t/2,"B",D1003&gt;=t/4,"A",TRUE,"S"))</f>
        <v/>
      </c>
    </row>
    <row r="1004" spans="5:5">
      <c r="E1004" s="5">
        <f>IF(OR(D1004="",t=""),"",_xlfn.IFS(D1004&gt;=t,"C",D1004&gt;=t/2,"B",D1004&gt;=t/4,"A",TRUE,"S"))</f>
        <v/>
      </c>
    </row>
    <row r="1005" spans="5:5">
      <c r="E1005" s="5">
        <f>IF(OR(D1005="",t=""),"",_xlfn.IFS(D1005&gt;=t,"C",D1005&gt;=t/2,"B",D1005&gt;=t/4,"A",TRUE,"S"))</f>
        <v/>
      </c>
    </row>
    <row r="1006" spans="5:5">
      <c r="E1006" s="5">
        <f>IF(OR(D1006="",t=""),"",_xlfn.IFS(D1006&gt;=t,"C",D1006&gt;=t/2,"B",D1006&gt;=t/4,"A",TRUE,"S"))</f>
        <v/>
      </c>
    </row>
    <row r="1007" spans="5:5">
      <c r="E1007" s="5">
        <f>IF(OR(D1007="",t=""),"",_xlfn.IFS(D1007&gt;=t,"C",D1007&gt;=t/2,"B",D1007&gt;=t/4,"A",TRUE,"S"))</f>
        <v/>
      </c>
    </row>
    <row r="1008" spans="5:5">
      <c r="E1008" s="5">
        <f>IF(OR(D1008="",t=""),"",_xlfn.IFS(D1008&gt;=t,"C",D1008&gt;=t/2,"B",D1008&gt;=t/4,"A",TRUE,"S"))</f>
        <v/>
      </c>
    </row>
    <row r="1009" spans="5:5">
      <c r="E1009" s="5">
        <f>IF(OR(D1009="",t=""),"",_xlfn.IFS(D1009&gt;=t,"C",D1009&gt;=t/2,"B",D1009&gt;=t/4,"A",TRUE,"S"))</f>
        <v/>
      </c>
    </row>
    <row r="1010" spans="5:5">
      <c r="E1010" s="5">
        <f>IF(OR(D1010="",t=""),"",_xlfn.IFS(D1010&gt;=t,"C",D1010&gt;=t/2,"B",D1010&gt;=t/4,"A",TRUE,"S"))</f>
        <v/>
      </c>
    </row>
    <row r="1011" spans="5:5">
      <c r="E1011" s="5">
        <f>IF(OR(D1011="",t=""),"",_xlfn.IFS(D1011&gt;=t,"C",D1011&gt;=t/2,"B",D1011&gt;=t/4,"A",TRUE,"S"))</f>
        <v/>
      </c>
    </row>
    <row r="1012" spans="5:5">
      <c r="E1012" s="5">
        <f>IF(OR(D1012="",t=""),"",_xlfn.IFS(D1012&gt;=t,"C",D1012&gt;=t/2,"B",D1012&gt;=t/4,"A",TRUE,"S"))</f>
        <v/>
      </c>
    </row>
    <row r="1013" spans="5:5">
      <c r="E1013" s="5">
        <f>IF(OR(D1013="",t=""),"",_xlfn.IFS(D1013&gt;=t,"C",D1013&gt;=t/2,"B",D1013&gt;=t/4,"A",TRUE,"S"))</f>
        <v/>
      </c>
    </row>
    <row r="1014" spans="5:5">
      <c r="E1014" s="5">
        <f>IF(OR(D1014="",t=""),"",_xlfn.IFS(D1014&gt;=t,"C",D1014&gt;=t/2,"B",D1014&gt;=t/4,"A",TRUE,"S"))</f>
        <v/>
      </c>
    </row>
    <row r="1015" spans="5:5">
      <c r="E1015" s="5">
        <f>IF(OR(D1015="",t=""),"",_xlfn.IFS(D1015&gt;=t,"C",D1015&gt;=t/2,"B",D1015&gt;=t/4,"A",TRUE,"S"))</f>
        <v/>
      </c>
    </row>
    <row r="1016" spans="5:5">
      <c r="E1016" s="5">
        <f>IF(OR(D1016="",t=""),"",_xlfn.IFS(D1016&gt;=t,"C",D1016&gt;=t/2,"B",D1016&gt;=t/4,"A",TRUE,"S"))</f>
        <v/>
      </c>
    </row>
    <row r="1017" spans="5:5">
      <c r="E1017" s="5">
        <f>IF(OR(D1017="",t=""),"",_xlfn.IFS(D1017&gt;=t,"C",D1017&gt;=t/2,"B",D1017&gt;=t/4,"A",TRUE,"S"))</f>
        <v/>
      </c>
    </row>
    <row r="1018" spans="5:5">
      <c r="E1018" s="5">
        <f>IF(OR(D1018="",t=""),"",_xlfn.IFS(D1018&gt;=t,"C",D1018&gt;=t/2,"B",D1018&gt;=t/4,"A",TRUE,"S"))</f>
        <v/>
      </c>
    </row>
    <row r="1019" spans="5:5">
      <c r="E1019" s="5">
        <f>IF(OR(D1019="",t=""),"",_xlfn.IFS(D1019&gt;=t,"C",D1019&gt;=t/2,"B",D1019&gt;=t/4,"A",TRUE,"S"))</f>
        <v/>
      </c>
    </row>
    <row r="1020" spans="5:5">
      <c r="E1020" s="5">
        <f>IF(OR(D1020="",t=""),"",_xlfn.IFS(D1020&gt;=t,"C",D1020&gt;=t/2,"B",D1020&gt;=t/4,"A",TRUE,"S"))</f>
        <v/>
      </c>
    </row>
    <row r="1021" spans="5:5">
      <c r="E1021" s="5">
        <f>IF(OR(D1021="",t=""),"",_xlfn.IFS(D1021&gt;=t,"C",D1021&gt;=t/2,"B",D1021&gt;=t/4,"A",TRUE,"S"))</f>
        <v/>
      </c>
    </row>
    <row r="1022" spans="5:5">
      <c r="E1022" s="5">
        <f>IF(OR(D1022="",t=""),"",_xlfn.IFS(D1022&gt;=t,"C",D1022&gt;=t/2,"B",D1022&gt;=t/4,"A",TRUE,"S"))</f>
        <v/>
      </c>
    </row>
    <row r="1023" spans="5:5">
      <c r="E1023" s="5">
        <f>IF(OR(D1023="",t=""),"",_xlfn.IFS(D1023&gt;=t,"C",D1023&gt;=t/2,"B",D1023&gt;=t/4,"A",TRUE,"S"))</f>
        <v/>
      </c>
    </row>
    <row r="1024" spans="5:5">
      <c r="E1024" s="5">
        <f>IF(OR(D1024="",t=""),"",_xlfn.IFS(D1024&gt;=t,"C",D1024&gt;=t/2,"B",D1024&gt;=t/4,"A",TRUE,"S"))</f>
        <v/>
      </c>
    </row>
    <row r="1025" spans="5:5">
      <c r="E1025" s="5">
        <f>IF(OR(D1025="",t=""),"",_xlfn.IFS(D1025&gt;=t,"C",D1025&gt;=t/2,"B",D1025&gt;=t/4,"A",TRUE,"S"))</f>
        <v/>
      </c>
    </row>
    <row r="1026" spans="5:5">
      <c r="E1026" s="5">
        <f>IF(OR(D1026="",t=""),"",_xlfn.IFS(D1026&gt;=t,"C",D1026&gt;=t/2,"B",D1026&gt;=t/4,"A",TRUE,"S"))</f>
        <v/>
      </c>
    </row>
    <row r="1027" spans="5:5">
      <c r="E1027" s="5">
        <f>IF(OR(D1027="",t=""),"",_xlfn.IFS(D1027&gt;=t,"C",D1027&gt;=t/2,"B",D1027&gt;=t/4,"A",TRUE,"S"))</f>
        <v/>
      </c>
    </row>
    <row r="1028" spans="5:5">
      <c r="E1028" s="5">
        <f>IF(OR(D1028="",t=""),"",_xlfn.IFS(D1028&gt;=t,"C",D1028&gt;=t/2,"B",D1028&gt;=t/4,"A",TRUE,"S"))</f>
        <v/>
      </c>
    </row>
    <row r="1029" spans="5:5">
      <c r="E1029" s="5">
        <f>IF(OR(D1029="",t=""),"",_xlfn.IFS(D1029&gt;=t,"C",D1029&gt;=t/2,"B",D1029&gt;=t/4,"A",TRUE,"S"))</f>
        <v/>
      </c>
    </row>
    <row r="1030" spans="5:5">
      <c r="E1030" s="5">
        <f>IF(OR(D1030="",t=""),"",_xlfn.IFS(D1030&gt;=t,"C",D1030&gt;=t/2,"B",D1030&gt;=t/4,"A",TRUE,"S"))</f>
        <v/>
      </c>
    </row>
    <row r="1031" spans="5:5">
      <c r="E1031" s="5">
        <f>IF(OR(D1031="",t=""),"",_xlfn.IFS(D1031&gt;=t,"C",D1031&gt;=t/2,"B",D1031&gt;=t/4,"A",TRUE,"S"))</f>
        <v/>
      </c>
    </row>
    <row r="1032" spans="5:5">
      <c r="E1032" s="5">
        <f>IF(OR(D1032="",t=""),"",_xlfn.IFS(D1032&gt;=t,"C",D1032&gt;=t/2,"B",D1032&gt;=t/4,"A",TRUE,"S"))</f>
        <v/>
      </c>
    </row>
    <row r="1033" spans="5:5">
      <c r="E1033" s="5">
        <f>IF(OR(D1033="",t=""),"",_xlfn.IFS(D1033&gt;=t,"C",D1033&gt;=t/2,"B",D1033&gt;=t/4,"A",TRUE,"S"))</f>
        <v/>
      </c>
    </row>
    <row r="1034" spans="5:5">
      <c r="E1034" s="5">
        <f>IF(OR(D1034="",t=""),"",_xlfn.IFS(D1034&gt;=t,"C",D1034&gt;=t/2,"B",D1034&gt;=t/4,"A",TRUE,"S"))</f>
        <v/>
      </c>
    </row>
    <row r="1035" spans="5:5">
      <c r="E1035" s="5">
        <f>IF(OR(D1035="",t=""),"",_xlfn.IFS(D1035&gt;=t,"C",D1035&gt;=t/2,"B",D1035&gt;=t/4,"A",TRUE,"S"))</f>
        <v/>
      </c>
    </row>
    <row r="1036" spans="5:5">
      <c r="E1036" s="5">
        <f>IF(OR(D1036="",t=""),"",_xlfn.IFS(D1036&gt;=t,"C",D1036&gt;=t/2,"B",D1036&gt;=t/4,"A",TRUE,"S"))</f>
        <v/>
      </c>
    </row>
    <row r="1037" spans="5:5">
      <c r="E1037" s="5">
        <f>IF(OR(D1037="",t=""),"",_xlfn.IFS(D1037&gt;=t,"C",D1037&gt;=t/2,"B",D1037&gt;=t/4,"A",TRUE,"S"))</f>
        <v/>
      </c>
    </row>
    <row r="1038" spans="5:5">
      <c r="E1038" s="5">
        <f>IF(OR(D1038="",t=""),"",_xlfn.IFS(D1038&gt;=t,"C",D1038&gt;=t/2,"B",D1038&gt;=t/4,"A",TRUE,"S"))</f>
        <v/>
      </c>
    </row>
    <row r="1039" spans="5:5">
      <c r="E1039" s="5">
        <f>IF(OR(D1039="",t=""),"",_xlfn.IFS(D1039&gt;=t,"C",D1039&gt;=t/2,"B",D1039&gt;=t/4,"A",TRUE,"S"))</f>
        <v/>
      </c>
    </row>
    <row r="1040" spans="5:5">
      <c r="E1040" s="5">
        <f>IF(OR(D1040="",t=""),"",_xlfn.IFS(D1040&gt;=t,"C",D1040&gt;=t/2,"B",D1040&gt;=t/4,"A",TRUE,"S"))</f>
        <v/>
      </c>
    </row>
    <row r="1041" spans="5:5">
      <c r="E1041" s="5">
        <f>IF(OR(D1041="",t=""),"",_xlfn.IFS(D1041&gt;=t,"C",D1041&gt;=t/2,"B",D1041&gt;=t/4,"A",TRUE,"S"))</f>
        <v/>
      </c>
    </row>
    <row r="1042" spans="5:5">
      <c r="E1042" s="5">
        <f>IF(OR(D1042="",t=""),"",_xlfn.IFS(D1042&gt;=t,"C",D1042&gt;=t/2,"B",D1042&gt;=t/4,"A",TRUE,"S"))</f>
        <v/>
      </c>
    </row>
    <row r="1043" spans="5:5">
      <c r="E1043" s="5">
        <f>IF(OR(D1043="",t=""),"",_xlfn.IFS(D1043&gt;=t,"C",D1043&gt;=t/2,"B",D1043&gt;=t/4,"A",TRUE,"S"))</f>
        <v/>
      </c>
    </row>
    <row r="1044" spans="5:5">
      <c r="E1044" s="5">
        <f>IF(OR(D1044="",t=""),"",_xlfn.IFS(D1044&gt;=t,"C",D1044&gt;=t/2,"B",D1044&gt;=t/4,"A",TRUE,"S"))</f>
        <v/>
      </c>
    </row>
    <row r="1045" spans="5:5">
      <c r="E1045" s="5">
        <f>IF(OR(D1045="",t=""),"",_xlfn.IFS(D1045&gt;=t,"C",D1045&gt;=t/2,"B",D1045&gt;=t/4,"A",TRUE,"S"))</f>
        <v/>
      </c>
    </row>
    <row r="1046" spans="5:5">
      <c r="E1046" s="5">
        <f>IF(OR(D1046="",t=""),"",_xlfn.IFS(D1046&gt;=t,"C",D1046&gt;=t/2,"B",D1046&gt;=t/4,"A",TRUE,"S"))</f>
        <v/>
      </c>
    </row>
    <row r="1047" spans="5:5">
      <c r="E1047" s="5">
        <f>IF(OR(D1047="",t=""),"",_xlfn.IFS(D1047&gt;=t,"C",D1047&gt;=t/2,"B",D1047&gt;=t/4,"A",TRUE,"S"))</f>
        <v/>
      </c>
    </row>
    <row r="1048" spans="5:5">
      <c r="E1048" s="5">
        <f>IF(OR(D1048="",t=""),"",_xlfn.IFS(D1048&gt;=t,"C",D1048&gt;=t/2,"B",D1048&gt;=t/4,"A",TRUE,"S"))</f>
        <v/>
      </c>
    </row>
    <row r="1049" spans="5:5">
      <c r="E1049" s="5">
        <f>IF(OR(D1049="",t=""),"",_xlfn.IFS(D1049&gt;=t,"C",D1049&gt;=t/2,"B",D1049&gt;=t/4,"A",TRUE,"S"))</f>
        <v/>
      </c>
    </row>
    <row r="1050" spans="5:5">
      <c r="E1050" s="5">
        <f>IF(OR(D1050="",t=""),"",_xlfn.IFS(D1050&gt;=t,"C",D1050&gt;=t/2,"B",D1050&gt;=t/4,"A",TRUE,"S"))</f>
        <v/>
      </c>
    </row>
    <row r="1051" spans="5:5">
      <c r="E1051" s="5">
        <f>IF(OR(D1051="",t=""),"",_xlfn.IFS(D1051&gt;=t,"C",D1051&gt;=t/2,"B",D1051&gt;=t/4,"A",TRUE,"S"))</f>
        <v/>
      </c>
    </row>
    <row r="1052" spans="5:5">
      <c r="E1052" s="5">
        <f>IF(OR(D1052="",t=""),"",_xlfn.IFS(D1052&gt;=t,"C",D1052&gt;=t/2,"B",D1052&gt;=t/4,"A",TRUE,"S"))</f>
        <v/>
      </c>
    </row>
    <row r="1053" spans="5:5">
      <c r="E1053" s="5">
        <f>IF(OR(D1053="",t=""),"",_xlfn.IFS(D1053&gt;=t,"C",D1053&gt;=t/2,"B",D1053&gt;=t/4,"A",TRUE,"S"))</f>
        <v/>
      </c>
    </row>
    <row r="1054" spans="5:5">
      <c r="E1054" s="5">
        <f>IF(OR(D1054="",t=""),"",_xlfn.IFS(D1054&gt;=t,"C",D1054&gt;=t/2,"B",D1054&gt;=t/4,"A",TRUE,"S"))</f>
        <v/>
      </c>
    </row>
    <row r="1055" spans="5:5">
      <c r="E1055" s="5">
        <f>IF(OR(D1055="",t=""),"",_xlfn.IFS(D1055&gt;=t,"C",D1055&gt;=t/2,"B",D1055&gt;=t/4,"A",TRUE,"S"))</f>
        <v/>
      </c>
    </row>
    <row r="1056" spans="5:5">
      <c r="E1056" s="5">
        <f>IF(OR(D1056="",t=""),"",_xlfn.IFS(D1056&gt;=t,"C",D1056&gt;=t/2,"B",D1056&gt;=t/4,"A",TRUE,"S"))</f>
        <v/>
      </c>
    </row>
    <row r="1057" spans="5:5">
      <c r="E1057" s="5">
        <f>IF(OR(D1057="",t=""),"",_xlfn.IFS(D1057&gt;=t,"C",D1057&gt;=t/2,"B",D1057&gt;=t/4,"A",TRUE,"S"))</f>
        <v/>
      </c>
    </row>
    <row r="1058" spans="5:5">
      <c r="E1058" s="5">
        <f>IF(OR(D1058="",t=""),"",_xlfn.IFS(D1058&gt;=t,"C",D1058&gt;=t/2,"B",D1058&gt;=t/4,"A",TRUE,"S"))</f>
        <v/>
      </c>
    </row>
    <row r="1059" spans="5:5">
      <c r="E1059" s="5">
        <f>IF(OR(D1059="",t=""),"",_xlfn.IFS(D1059&gt;=t,"C",D1059&gt;=t/2,"B",D1059&gt;=t/4,"A",TRUE,"S"))</f>
        <v/>
      </c>
    </row>
    <row r="1060" spans="5:5">
      <c r="E1060" s="5">
        <f>IF(OR(D1060="",t=""),"",_xlfn.IFS(D1060&gt;=t,"C",D1060&gt;=t/2,"B",D1060&gt;=t/4,"A",TRUE,"S"))</f>
        <v/>
      </c>
    </row>
    <row r="1061" spans="5:5">
      <c r="E1061" s="5">
        <f>IF(OR(D1061="",t=""),"",_xlfn.IFS(D1061&gt;=t,"C",D1061&gt;=t/2,"B",D1061&gt;=t/4,"A",TRUE,"S"))</f>
        <v/>
      </c>
    </row>
    <row r="1062" spans="5:5">
      <c r="E1062" s="5">
        <f>IF(OR(D1062="",t=""),"",_xlfn.IFS(D1062&gt;=t,"C",D1062&gt;=t/2,"B",D1062&gt;=t/4,"A",TRUE,"S"))</f>
        <v/>
      </c>
    </row>
    <row r="1063" spans="5:5">
      <c r="E1063" s="5">
        <f>IF(OR(D1063="",t=""),"",_xlfn.IFS(D1063&gt;=t,"C",D1063&gt;=t/2,"B",D1063&gt;=t/4,"A",TRUE,"S"))</f>
        <v/>
      </c>
    </row>
    <row r="1064" spans="5:5">
      <c r="E1064" s="5">
        <f>IF(OR(D1064="",t=""),"",_xlfn.IFS(D1064&gt;=t,"C",D1064&gt;=t/2,"B",D1064&gt;=t/4,"A",TRUE,"S"))</f>
        <v/>
      </c>
    </row>
    <row r="1065" spans="5:5">
      <c r="E1065" s="5">
        <f>IF(OR(D1065="",t=""),"",_xlfn.IFS(D1065&gt;=t,"C",D1065&gt;=t/2,"B",D1065&gt;=t/4,"A",TRUE,"S"))</f>
        <v/>
      </c>
    </row>
    <row r="1066" spans="5:5">
      <c r="E1066" s="5">
        <f>IF(OR(D1066="",t=""),"",_xlfn.IFS(D1066&gt;=t,"C",D1066&gt;=t/2,"B",D1066&gt;=t/4,"A",TRUE,"S"))</f>
        <v/>
      </c>
    </row>
    <row r="1067" spans="5:5">
      <c r="E1067" s="5">
        <f>IF(OR(D1067="",t=""),"",_xlfn.IFS(D1067&gt;=t,"C",D1067&gt;=t/2,"B",D1067&gt;=t/4,"A",TRUE,"S"))</f>
        <v/>
      </c>
    </row>
    <row r="1068" spans="5:5">
      <c r="E1068" s="5">
        <f>IF(OR(D1068="",t=""),"",_xlfn.IFS(D1068&gt;=t,"C",D1068&gt;=t/2,"B",D1068&gt;=t/4,"A",TRUE,"S"))</f>
        <v/>
      </c>
    </row>
    <row r="1069" spans="5:5">
      <c r="E1069" s="5">
        <f>IF(OR(D1069="",t=""),"",_xlfn.IFS(D1069&gt;=t,"C",D1069&gt;=t/2,"B",D1069&gt;=t/4,"A",TRUE,"S"))</f>
        <v/>
      </c>
    </row>
    <row r="1070" spans="5:5">
      <c r="E1070" s="5">
        <f>IF(OR(D1070="",t=""),"",_xlfn.IFS(D1070&gt;=t,"C",D1070&gt;=t/2,"B",D1070&gt;=t/4,"A",TRUE,"S"))</f>
        <v/>
      </c>
    </row>
    <row r="1071" spans="5:5">
      <c r="E1071" s="5">
        <f>IF(OR(D1071="",t=""),"",_xlfn.IFS(D1071&gt;=t,"C",D1071&gt;=t/2,"B",D1071&gt;=t/4,"A",TRUE,"S"))</f>
        <v/>
      </c>
    </row>
    <row r="1072" spans="5:5">
      <c r="E1072" s="5">
        <f>IF(OR(D1072="",t=""),"",_xlfn.IFS(D1072&gt;=t,"C",D1072&gt;=t/2,"B",D1072&gt;=t/4,"A",TRUE,"S"))</f>
        <v/>
      </c>
    </row>
    <row r="1073" spans="5:5">
      <c r="E1073" s="5">
        <f>IF(OR(D1073="",t=""),"",_xlfn.IFS(D1073&gt;=t,"C",D1073&gt;=t/2,"B",D1073&gt;=t/4,"A",TRUE,"S"))</f>
        <v/>
      </c>
    </row>
    <row r="1074" spans="5:5">
      <c r="E1074" s="5">
        <f>IF(OR(D1074="",t=""),"",_xlfn.IFS(D1074&gt;=t,"C",D1074&gt;=t/2,"B",D1074&gt;=t/4,"A",TRUE,"S"))</f>
        <v/>
      </c>
    </row>
    <row r="1075" spans="5:5">
      <c r="E1075" s="5">
        <f>IF(OR(D1075="",t=""),"",_xlfn.IFS(D1075&gt;=t,"C",D1075&gt;=t/2,"B",D1075&gt;=t/4,"A",TRUE,"S"))</f>
        <v/>
      </c>
    </row>
    <row r="1076" spans="5:5">
      <c r="E1076" s="5">
        <f>IF(OR(D1076="",t=""),"",_xlfn.IFS(D1076&gt;=t,"C",D1076&gt;=t/2,"B",D1076&gt;=t/4,"A",TRUE,"S"))</f>
        <v/>
      </c>
    </row>
    <row r="1077" spans="5:5">
      <c r="E1077" s="5">
        <f>IF(OR(D1077="",t=""),"",_xlfn.IFS(D1077&gt;=t,"C",D1077&gt;=t/2,"B",D1077&gt;=t/4,"A",TRUE,"S"))</f>
        <v/>
      </c>
    </row>
    <row r="1078" spans="5:5">
      <c r="E1078" s="5">
        <f>IF(OR(D1078="",t=""),"",_xlfn.IFS(D1078&gt;=t,"C",D1078&gt;=t/2,"B",D1078&gt;=t/4,"A",TRUE,"S"))</f>
        <v/>
      </c>
    </row>
    <row r="1079" spans="5:5">
      <c r="E1079" s="5">
        <f>IF(OR(D1079="",t=""),"",_xlfn.IFS(D1079&gt;=t,"C",D1079&gt;=t/2,"B",D1079&gt;=t/4,"A",TRUE,"S"))</f>
        <v/>
      </c>
    </row>
    <row r="1080" spans="5:5">
      <c r="E1080" s="5">
        <f>IF(OR(D1080="",t=""),"",_xlfn.IFS(D1080&gt;=t,"C",D1080&gt;=t/2,"B",D1080&gt;=t/4,"A",TRUE,"S"))</f>
        <v/>
      </c>
    </row>
    <row r="1081" spans="5:5">
      <c r="E1081" s="5">
        <f>IF(OR(D1081="",t=""),"",_xlfn.IFS(D1081&gt;=t,"C",D1081&gt;=t/2,"B",D1081&gt;=t/4,"A",TRUE,"S"))</f>
        <v/>
      </c>
    </row>
    <row r="1082" spans="5:5">
      <c r="E1082" s="5">
        <f>IF(OR(D1082="",t=""),"",_xlfn.IFS(D1082&gt;=t,"C",D1082&gt;=t/2,"B",D1082&gt;=t/4,"A",TRUE,"S"))</f>
        <v/>
      </c>
    </row>
    <row r="1083" spans="5:5">
      <c r="E1083" s="5">
        <f>IF(OR(D1083="",t=""),"",_xlfn.IFS(D1083&gt;=t,"C",D1083&gt;=t/2,"B",D1083&gt;=t/4,"A",TRUE,"S"))</f>
        <v/>
      </c>
    </row>
    <row r="1084" spans="5:5">
      <c r="E1084" s="5">
        <f>IF(OR(D1084="",t=""),"",_xlfn.IFS(D1084&gt;=t,"C",D1084&gt;=t/2,"B",D1084&gt;=t/4,"A",TRUE,"S"))</f>
        <v/>
      </c>
    </row>
    <row r="1085" spans="5:5">
      <c r="E1085" s="5">
        <f>IF(OR(D1085="",t=""),"",_xlfn.IFS(D1085&gt;=t,"C",D1085&gt;=t/2,"B",D1085&gt;=t/4,"A",TRUE,"S"))</f>
        <v/>
      </c>
    </row>
    <row r="1086" spans="5:5">
      <c r="E1086" s="5">
        <f>IF(OR(D1086="",t=""),"",_xlfn.IFS(D1086&gt;=t,"C",D1086&gt;=t/2,"B",D1086&gt;=t/4,"A",TRUE,"S"))</f>
        <v/>
      </c>
    </row>
    <row r="1087" spans="5:5">
      <c r="E1087" s="5">
        <f>IF(OR(D1087="",t=""),"",_xlfn.IFS(D1087&gt;=t,"C",D1087&gt;=t/2,"B",D1087&gt;=t/4,"A",TRUE,"S"))</f>
        <v/>
      </c>
    </row>
    <row r="1088" spans="5:5">
      <c r="E1088" s="5">
        <f>IF(OR(D1088="",t=""),"",_xlfn.IFS(D1088&gt;=t,"C",D1088&gt;=t/2,"B",D1088&gt;=t/4,"A",TRUE,"S"))</f>
        <v/>
      </c>
    </row>
    <row r="1089" spans="5:5">
      <c r="E1089" s="5">
        <f>IF(OR(D1089="",t=""),"",_xlfn.IFS(D1089&gt;=t,"C",D1089&gt;=t/2,"B",D1089&gt;=t/4,"A",TRUE,"S"))</f>
        <v/>
      </c>
    </row>
    <row r="1090" spans="5:5">
      <c r="E1090" s="5">
        <f>IF(OR(D1090="",t=""),"",_xlfn.IFS(D1090&gt;=t,"C",D1090&gt;=t/2,"B",D1090&gt;=t/4,"A",TRUE,"S"))</f>
        <v/>
      </c>
    </row>
    <row r="1091" spans="5:5">
      <c r="E1091" s="5">
        <f>IF(OR(D1091="",t=""),"",_xlfn.IFS(D1091&gt;=t,"C",D1091&gt;=t/2,"B",D1091&gt;=t/4,"A",TRUE,"S"))</f>
        <v/>
      </c>
    </row>
    <row r="1092" spans="5:5">
      <c r="E1092" s="5">
        <f>IF(OR(D1092="",t=""),"",_xlfn.IFS(D1092&gt;=t,"C",D1092&gt;=t/2,"B",D1092&gt;=t/4,"A",TRUE,"S"))</f>
        <v/>
      </c>
    </row>
    <row r="1093" spans="5:5">
      <c r="E1093" s="5">
        <f>IF(OR(D1093="",t=""),"",_xlfn.IFS(D1093&gt;=t,"C",D1093&gt;=t/2,"B",D1093&gt;=t/4,"A",TRUE,"S"))</f>
        <v/>
      </c>
    </row>
    <row r="1094" spans="5:5">
      <c r="E1094" s="5">
        <f>IF(OR(D1094="",t=""),"",_xlfn.IFS(D1094&gt;=t,"C",D1094&gt;=t/2,"B",D1094&gt;=t/4,"A",TRUE,"S"))</f>
        <v/>
      </c>
    </row>
    <row r="1095" spans="5:5">
      <c r="E1095" s="5">
        <f>IF(OR(D1095="",t=""),"",_xlfn.IFS(D1095&gt;=t,"C",D1095&gt;=t/2,"B",D1095&gt;=t/4,"A",TRUE,"S"))</f>
        <v/>
      </c>
    </row>
    <row r="1096" spans="5:5">
      <c r="E1096" s="5">
        <f>IF(OR(D1096="",t=""),"",_xlfn.IFS(D1096&gt;=t,"C",D1096&gt;=t/2,"B",D1096&gt;=t/4,"A",TRUE,"S"))</f>
        <v/>
      </c>
    </row>
    <row r="1097" spans="5:5">
      <c r="E1097" s="5">
        <f>IF(OR(D1097="",t=""),"",_xlfn.IFS(D1097&gt;=t,"C",D1097&gt;=t/2,"B",D1097&gt;=t/4,"A",TRUE,"S"))</f>
        <v/>
      </c>
    </row>
    <row r="1098" spans="5:5">
      <c r="E1098" s="5">
        <f>IF(OR(D1098="",t=""),"",_xlfn.IFS(D1098&gt;=t,"C",D1098&gt;=t/2,"B",D1098&gt;=t/4,"A",TRUE,"S"))</f>
        <v/>
      </c>
    </row>
    <row r="1099" spans="5:5">
      <c r="E1099" s="5">
        <f>IF(OR(D1099="",t=""),"",_xlfn.IFS(D1099&gt;=t,"C",D1099&gt;=t/2,"B",D1099&gt;=t/4,"A",TRUE,"S"))</f>
        <v/>
      </c>
    </row>
    <row r="1100" spans="5:5">
      <c r="E1100" s="5">
        <f>IF(OR(D1100="",t=""),"",_xlfn.IFS(D1100&gt;=t,"C",D1100&gt;=t/2,"B",D1100&gt;=t/4,"A",TRUE,"S"))</f>
        <v/>
      </c>
    </row>
    <row r="1101" spans="5:5">
      <c r="E1101" s="5">
        <f>IF(OR(D1101="",t=""),"",_xlfn.IFS(D1101&gt;=t,"C",D1101&gt;=t/2,"B",D1101&gt;=t/4,"A",TRUE,"S"))</f>
        <v/>
      </c>
    </row>
    <row r="1102" spans="5:5">
      <c r="E1102" s="5">
        <f>IF(OR(D1102="",t=""),"",_xlfn.IFS(D1102&gt;=t,"C",D1102&gt;=t/2,"B",D1102&gt;=t/4,"A",TRUE,"S"))</f>
        <v/>
      </c>
    </row>
    <row r="1103" spans="5:5">
      <c r="E1103" s="5">
        <f>IF(OR(D1103="",t=""),"",_xlfn.IFS(D1103&gt;=t,"C",D1103&gt;=t/2,"B",D1103&gt;=t/4,"A",TRUE,"S"))</f>
        <v/>
      </c>
    </row>
    <row r="1104" spans="5:5">
      <c r="E1104" s="5">
        <f>IF(OR(D1104="",t=""),"",_xlfn.IFS(D1104&gt;=t,"C",D1104&gt;=t/2,"B",D1104&gt;=t/4,"A",TRUE,"S"))</f>
        <v/>
      </c>
    </row>
    <row r="1105" spans="5:5">
      <c r="E1105" s="5">
        <f>IF(OR(D1105="",t=""),"",_xlfn.IFS(D1105&gt;=t,"C",D1105&gt;=t/2,"B",D1105&gt;=t/4,"A",TRUE,"S"))</f>
        <v/>
      </c>
    </row>
    <row r="1106" spans="5:5">
      <c r="E1106" s="5">
        <f>IF(OR(D1106="",t=""),"",_xlfn.IFS(D1106&gt;=t,"C",D1106&gt;=t/2,"B",D1106&gt;=t/4,"A",TRUE,"S"))</f>
        <v/>
      </c>
    </row>
    <row r="1107" spans="5:5">
      <c r="E1107" s="5">
        <f>IF(OR(D1107="",t=""),"",_xlfn.IFS(D1107&gt;=t,"C",D1107&gt;=t/2,"B",D1107&gt;=t/4,"A",TRUE,"S"))</f>
        <v/>
      </c>
    </row>
    <row r="1108" spans="5:5">
      <c r="E1108" s="5">
        <f>IF(OR(D1108="",t=""),"",_xlfn.IFS(D1108&gt;=t,"C",D1108&gt;=t/2,"B",D1108&gt;=t/4,"A",TRUE,"S"))</f>
        <v/>
      </c>
    </row>
    <row r="1109" spans="5:5">
      <c r="E1109" s="5">
        <f>IF(OR(D1109="",t=""),"",_xlfn.IFS(D1109&gt;=t,"C",D1109&gt;=t/2,"B",D1109&gt;=t/4,"A",TRUE,"S"))</f>
        <v/>
      </c>
    </row>
    <row r="1110" spans="5:5">
      <c r="E1110" s="5">
        <f>IF(OR(D1110="",t=""),"",_xlfn.IFS(D1110&gt;=t,"C",D1110&gt;=t/2,"B",D1110&gt;=t/4,"A",TRUE,"S"))</f>
        <v/>
      </c>
    </row>
    <row r="1111" spans="5:5">
      <c r="E1111" s="5">
        <f>IF(OR(D1111="",t=""),"",_xlfn.IFS(D1111&gt;=t,"C",D1111&gt;=t/2,"B",D1111&gt;=t/4,"A",TRUE,"S"))</f>
        <v/>
      </c>
    </row>
    <row r="1112" spans="5:5">
      <c r="E1112" s="5">
        <f>IF(OR(D1112="",t=""),"",_xlfn.IFS(D1112&gt;=t,"C",D1112&gt;=t/2,"B",D1112&gt;=t/4,"A",TRUE,"S"))</f>
        <v/>
      </c>
    </row>
    <row r="1113" spans="5:5">
      <c r="E1113" s="5">
        <f>IF(OR(D1113="",t=""),"",_xlfn.IFS(D1113&gt;=t,"C",D1113&gt;=t/2,"B",D1113&gt;=t/4,"A",TRUE,"S"))</f>
        <v/>
      </c>
    </row>
    <row r="1114" spans="5:5">
      <c r="E1114" s="5">
        <f>IF(OR(D1114="",t=""),"",_xlfn.IFS(D1114&gt;=t,"C",D1114&gt;=t/2,"B",D1114&gt;=t/4,"A",TRUE,"S"))</f>
        <v/>
      </c>
    </row>
    <row r="1115" spans="5:5">
      <c r="E1115" s="5">
        <f>IF(OR(D1115="",t=""),"",_xlfn.IFS(D1115&gt;=t,"C",D1115&gt;=t/2,"B",D1115&gt;=t/4,"A",TRUE,"S"))</f>
        <v/>
      </c>
    </row>
    <row r="1116" spans="5:5">
      <c r="E1116" s="5">
        <f>IF(OR(D1116="",t=""),"",_xlfn.IFS(D1116&gt;=t,"C",D1116&gt;=t/2,"B",D1116&gt;=t/4,"A",TRUE,"S"))</f>
        <v/>
      </c>
    </row>
    <row r="1117" spans="5:5">
      <c r="E1117" s="5">
        <f>IF(OR(D1117="",t=""),"",_xlfn.IFS(D1117&gt;=t,"C",D1117&gt;=t/2,"B",D1117&gt;=t/4,"A",TRUE,"S"))</f>
        <v/>
      </c>
    </row>
    <row r="1118" spans="5:5">
      <c r="E1118" s="5">
        <f>IF(OR(D1118="",t=""),"",_xlfn.IFS(D1118&gt;=t,"C",D1118&gt;=t/2,"B",D1118&gt;=t/4,"A",TRUE,"S"))</f>
        <v/>
      </c>
    </row>
    <row r="1119" spans="5:5">
      <c r="E1119" s="5">
        <f>IF(OR(D1119="",t=""),"",_xlfn.IFS(D1119&gt;=t,"C",D1119&gt;=t/2,"B",D1119&gt;=t/4,"A",TRUE,"S"))</f>
        <v/>
      </c>
    </row>
    <row r="1120" spans="5:5">
      <c r="E1120" s="5">
        <f>IF(OR(D1120="",t=""),"",_xlfn.IFS(D1120&gt;=t,"C",D1120&gt;=t/2,"B",D1120&gt;=t/4,"A",TRUE,"S"))</f>
        <v/>
      </c>
    </row>
    <row r="1121" spans="5:5">
      <c r="E1121" s="5">
        <f>IF(OR(D1121="",t=""),"",_xlfn.IFS(D1121&gt;=t,"C",D1121&gt;=t/2,"B",D1121&gt;=t/4,"A",TRUE,"S"))</f>
        <v/>
      </c>
    </row>
    <row r="1122" spans="5:5">
      <c r="E1122" s="5">
        <f>IF(OR(D1122="",t=""),"",_xlfn.IFS(D1122&gt;=t,"C",D1122&gt;=t/2,"B",D1122&gt;=t/4,"A",TRUE,"S"))</f>
        <v/>
      </c>
    </row>
    <row r="1123" spans="5:5">
      <c r="E1123" s="5">
        <f>IF(OR(D1123="",t=""),"",_xlfn.IFS(D1123&gt;=t,"C",D1123&gt;=t/2,"B",D1123&gt;=t/4,"A",TRUE,"S"))</f>
        <v/>
      </c>
    </row>
    <row r="1124" spans="5:5">
      <c r="E1124" s="5">
        <f>IF(OR(D1124="",t=""),"",_xlfn.IFS(D1124&gt;=t,"C",D1124&gt;=t/2,"B",D1124&gt;=t/4,"A",TRUE,"S"))</f>
        <v/>
      </c>
    </row>
    <row r="1125" spans="5:5">
      <c r="E1125" s="5">
        <f>IF(OR(D1125="",t=""),"",_xlfn.IFS(D1125&gt;=t,"C",D1125&gt;=t/2,"B",D1125&gt;=t/4,"A",TRUE,"S"))</f>
        <v/>
      </c>
    </row>
    <row r="1126" spans="5:5">
      <c r="E1126" s="5">
        <f>IF(OR(D1126="",t=""),"",_xlfn.IFS(D1126&gt;=t,"C",D1126&gt;=t/2,"B",D1126&gt;=t/4,"A",TRUE,"S"))</f>
        <v/>
      </c>
    </row>
    <row r="1127" spans="5:5">
      <c r="E1127" s="5">
        <f>IF(OR(D1127="",t=""),"",_xlfn.IFS(D1127&gt;=t,"C",D1127&gt;=t/2,"B",D1127&gt;=t/4,"A",TRUE,"S"))</f>
        <v/>
      </c>
    </row>
    <row r="1128" spans="5:5">
      <c r="E1128" s="5">
        <f>IF(OR(D1128="",t=""),"",_xlfn.IFS(D1128&gt;=t,"C",D1128&gt;=t/2,"B",D1128&gt;=t/4,"A",TRUE,"S"))</f>
        <v/>
      </c>
    </row>
    <row r="1129" spans="5:5">
      <c r="E1129" s="5">
        <f>IF(OR(D1129="",t=""),"",_xlfn.IFS(D1129&gt;=t,"C",D1129&gt;=t/2,"B",D1129&gt;=t/4,"A",TRUE,"S"))</f>
        <v/>
      </c>
    </row>
    <row r="1130" spans="5:5">
      <c r="E1130" s="5">
        <f>IF(OR(D1130="",t=""),"",_xlfn.IFS(D1130&gt;=t,"C",D1130&gt;=t/2,"B",D1130&gt;=t/4,"A",TRUE,"S"))</f>
        <v/>
      </c>
    </row>
    <row r="1131" spans="5:5">
      <c r="E1131" s="5">
        <f>IF(OR(D1131="",t=""),"",_xlfn.IFS(D1131&gt;=t,"C",D1131&gt;=t/2,"B",D1131&gt;=t/4,"A",TRUE,"S"))</f>
        <v/>
      </c>
    </row>
    <row r="1132" spans="5:5">
      <c r="E1132" s="5">
        <f>IF(OR(D1132="",t=""),"",_xlfn.IFS(D1132&gt;=t,"C",D1132&gt;=t/2,"B",D1132&gt;=t/4,"A",TRUE,"S"))</f>
        <v/>
      </c>
    </row>
    <row r="1133" spans="5:5">
      <c r="E1133" s="5">
        <f>IF(OR(D1133="",t=""),"",_xlfn.IFS(D1133&gt;=t,"C",D1133&gt;=t/2,"B",D1133&gt;=t/4,"A",TRUE,"S"))</f>
        <v/>
      </c>
    </row>
    <row r="1134" spans="5:5">
      <c r="E1134" s="5">
        <f>IF(OR(D1134="",t=""),"",_xlfn.IFS(D1134&gt;=t,"C",D1134&gt;=t/2,"B",D1134&gt;=t/4,"A",TRUE,"S"))</f>
        <v/>
      </c>
    </row>
    <row r="1135" spans="5:5">
      <c r="E1135" s="5">
        <f>IF(OR(D1135="",t=""),"",_xlfn.IFS(D1135&gt;=t,"C",D1135&gt;=t/2,"B",D1135&gt;=t/4,"A",TRUE,"S"))</f>
        <v/>
      </c>
    </row>
    <row r="1136" spans="5:5">
      <c r="E1136" s="5">
        <f>IF(OR(D1136="",t=""),"",_xlfn.IFS(D1136&gt;=t,"C",D1136&gt;=t/2,"B",D1136&gt;=t/4,"A",TRUE,"S"))</f>
        <v/>
      </c>
    </row>
    <row r="1137" spans="5:5">
      <c r="E1137" s="5">
        <f>IF(OR(D1137="",t=""),"",_xlfn.IFS(D1137&gt;=t,"C",D1137&gt;=t/2,"B",D1137&gt;=t/4,"A",TRUE,"S"))</f>
        <v/>
      </c>
    </row>
    <row r="1138" spans="5:5">
      <c r="E1138" s="5">
        <f>IF(OR(D1138="",t=""),"",_xlfn.IFS(D1138&gt;=t,"C",D1138&gt;=t/2,"B",D1138&gt;=t/4,"A",TRUE,"S"))</f>
        <v/>
      </c>
    </row>
    <row r="1139" spans="5:5">
      <c r="E1139" s="5">
        <f>IF(OR(D1139="",t=""),"",_xlfn.IFS(D1139&gt;=t,"C",D1139&gt;=t/2,"B",D1139&gt;=t/4,"A",TRUE,"S"))</f>
        <v/>
      </c>
    </row>
    <row r="1140" spans="5:5">
      <c r="E1140" s="5">
        <f>IF(OR(D1140="",t=""),"",_xlfn.IFS(D1140&gt;=t,"C",D1140&gt;=t/2,"B",D1140&gt;=t/4,"A",TRUE,"S"))</f>
        <v/>
      </c>
    </row>
    <row r="1141" spans="5:5">
      <c r="E1141" s="5">
        <f>IF(OR(D1141="",t=""),"",_xlfn.IFS(D1141&gt;=t,"C",D1141&gt;=t/2,"B",D1141&gt;=t/4,"A",TRUE,"S"))</f>
        <v/>
      </c>
    </row>
    <row r="1142" spans="5:5">
      <c r="E1142" s="5">
        <f>IF(OR(D1142="",t=""),"",_xlfn.IFS(D1142&gt;=t,"C",D1142&gt;=t/2,"B",D1142&gt;=t/4,"A",TRUE,"S"))</f>
        <v/>
      </c>
    </row>
    <row r="1143" spans="5:5">
      <c r="E1143" s="5">
        <f>IF(OR(D1143="",t=""),"",_xlfn.IFS(D1143&gt;=t,"C",D1143&gt;=t/2,"B",D1143&gt;=t/4,"A",TRUE,"S"))</f>
        <v/>
      </c>
    </row>
    <row r="1144" spans="5:5">
      <c r="E1144" s="5">
        <f>IF(OR(D1144="",t=""),"",_xlfn.IFS(D1144&gt;=t,"C",D1144&gt;=t/2,"B",D1144&gt;=t/4,"A",TRUE,"S"))</f>
        <v/>
      </c>
    </row>
    <row r="1145" spans="5:5">
      <c r="E1145" s="5">
        <f>IF(OR(D1145="",t=""),"",_xlfn.IFS(D1145&gt;=t,"C",D1145&gt;=t/2,"B",D1145&gt;=t/4,"A",TRUE,"S"))</f>
        <v/>
      </c>
    </row>
    <row r="1146" spans="5:5">
      <c r="E1146" s="5">
        <f>IF(OR(D1146="",t=""),"",_xlfn.IFS(D1146&gt;=t,"C",D1146&gt;=t/2,"B",D1146&gt;=t/4,"A",TRUE,"S"))</f>
        <v/>
      </c>
    </row>
    <row r="1147" spans="5:5">
      <c r="E1147" s="5">
        <f>IF(OR(D1147="",t=""),"",_xlfn.IFS(D1147&gt;=t,"C",D1147&gt;=t/2,"B",D1147&gt;=t/4,"A",TRUE,"S"))</f>
        <v/>
      </c>
    </row>
    <row r="1148" spans="5:5">
      <c r="E1148" s="5">
        <f>IF(OR(D1148="",t=""),"",_xlfn.IFS(D1148&gt;=t,"C",D1148&gt;=t/2,"B",D1148&gt;=t/4,"A",TRUE,"S"))</f>
        <v/>
      </c>
    </row>
    <row r="1149" spans="5:5">
      <c r="E1149" s="5">
        <f>IF(OR(D1149="",t=""),"",_xlfn.IFS(D1149&gt;=t,"C",D1149&gt;=t/2,"B",D1149&gt;=t/4,"A",TRUE,"S"))</f>
        <v/>
      </c>
    </row>
    <row r="1150" spans="5:5">
      <c r="E1150" s="5">
        <f>IF(OR(D1150="",t=""),"",_xlfn.IFS(D1150&gt;=t,"C",D1150&gt;=t/2,"B",D1150&gt;=t/4,"A",TRUE,"S"))</f>
        <v/>
      </c>
    </row>
    <row r="1151" spans="5:5">
      <c r="E1151" s="5">
        <f>IF(OR(D1151="",t=""),"",_xlfn.IFS(D1151&gt;=t,"C",D1151&gt;=t/2,"B",D1151&gt;=t/4,"A",TRUE,"S"))</f>
        <v/>
      </c>
    </row>
    <row r="1152" spans="5:5">
      <c r="E1152" s="5">
        <f>IF(OR(D1152="",t=""),"",_xlfn.IFS(D1152&gt;=t,"C",D1152&gt;=t/2,"B",D1152&gt;=t/4,"A",TRUE,"S"))</f>
        <v/>
      </c>
    </row>
    <row r="1153" spans="5:5">
      <c r="E1153" s="5">
        <f>IF(OR(D1153="",t=""),"",_xlfn.IFS(D1153&gt;=t,"C",D1153&gt;=t/2,"B",D1153&gt;=t/4,"A",TRUE,"S"))</f>
        <v/>
      </c>
    </row>
    <row r="1154" spans="5:5">
      <c r="E1154" s="5">
        <f>IF(OR(D1154="",t=""),"",_xlfn.IFS(D1154&gt;=t,"C",D1154&gt;=t/2,"B",D1154&gt;=t/4,"A",TRUE,"S"))</f>
        <v/>
      </c>
    </row>
    <row r="1155" spans="5:5">
      <c r="E1155" s="5">
        <f>IF(OR(D1155="",t=""),"",_xlfn.IFS(D1155&gt;=t,"C",D1155&gt;=t/2,"B",D1155&gt;=t/4,"A",TRUE,"S"))</f>
        <v/>
      </c>
    </row>
    <row r="1156" spans="5:5">
      <c r="E1156" s="5">
        <f>IF(OR(D1156="",t=""),"",_xlfn.IFS(D1156&gt;=t,"C",D1156&gt;=t/2,"B",D1156&gt;=t/4,"A",TRUE,"S"))</f>
        <v/>
      </c>
    </row>
    <row r="1157" spans="5:5">
      <c r="E1157" s="5">
        <f>IF(OR(D1157="",t=""),"",_xlfn.IFS(D1157&gt;=t,"C",D1157&gt;=t/2,"B",D1157&gt;=t/4,"A",TRUE,"S"))</f>
        <v/>
      </c>
    </row>
    <row r="1158" spans="5:5">
      <c r="E1158" s="5">
        <f>IF(OR(D1158="",t=""),"",_xlfn.IFS(D1158&gt;=t,"C",D1158&gt;=t/2,"B",D1158&gt;=t/4,"A",TRUE,"S"))</f>
        <v/>
      </c>
    </row>
    <row r="1159" spans="5:5">
      <c r="E1159" s="5">
        <f>IF(OR(D1159="",t=""),"",_xlfn.IFS(D1159&gt;=t,"C",D1159&gt;=t/2,"B",D1159&gt;=t/4,"A",TRUE,"S"))</f>
        <v/>
      </c>
    </row>
    <row r="1160" spans="5:5">
      <c r="E1160" s="5">
        <f>IF(OR(D1160="",t=""),"",_xlfn.IFS(D1160&gt;=t,"C",D1160&gt;=t/2,"B",D1160&gt;=t/4,"A",TRUE,"S"))</f>
        <v/>
      </c>
    </row>
    <row r="1161" spans="5:5">
      <c r="E1161" s="5">
        <f>IF(OR(D1161="",t=""),"",_xlfn.IFS(D1161&gt;=t,"C",D1161&gt;=t/2,"B",D1161&gt;=t/4,"A",TRUE,"S"))</f>
        <v/>
      </c>
    </row>
    <row r="1162" spans="5:5">
      <c r="E1162" s="5">
        <f>IF(OR(D1162="",t=""),"",_xlfn.IFS(D1162&gt;=t,"C",D1162&gt;=t/2,"B",D1162&gt;=t/4,"A",TRUE,"S"))</f>
        <v/>
      </c>
    </row>
    <row r="1163" spans="5:5">
      <c r="E1163" s="5">
        <f>IF(OR(D1163="",t=""),"",_xlfn.IFS(D1163&gt;=t,"C",D1163&gt;=t/2,"B",D1163&gt;=t/4,"A",TRUE,"S"))</f>
        <v/>
      </c>
    </row>
    <row r="1164" spans="5:5">
      <c r="E1164" s="5">
        <f>IF(OR(D1164="",t=""),"",_xlfn.IFS(D1164&gt;=t,"C",D1164&gt;=t/2,"B",D1164&gt;=t/4,"A",TRUE,"S"))</f>
        <v/>
      </c>
    </row>
    <row r="1165" spans="5:5">
      <c r="E1165" s="5">
        <f>IF(OR(D1165="",t=""),"",_xlfn.IFS(D1165&gt;=t,"C",D1165&gt;=t/2,"B",D1165&gt;=t/4,"A",TRUE,"S"))</f>
        <v/>
      </c>
    </row>
    <row r="1166" spans="5:5">
      <c r="E1166" s="5">
        <f>IF(OR(D1166="",t=""),"",_xlfn.IFS(D1166&gt;=t,"C",D1166&gt;=t/2,"B",D1166&gt;=t/4,"A",TRUE,"S"))</f>
        <v/>
      </c>
    </row>
    <row r="1167" spans="5:5">
      <c r="E1167" s="5">
        <f>IF(OR(D1167="",t=""),"",_xlfn.IFS(D1167&gt;=t,"C",D1167&gt;=t/2,"B",D1167&gt;=t/4,"A",TRUE,"S"))</f>
        <v/>
      </c>
    </row>
    <row r="1168" spans="5:5">
      <c r="E1168" s="5">
        <f>IF(OR(D1168="",t=""),"",_xlfn.IFS(D1168&gt;=t,"C",D1168&gt;=t/2,"B",D1168&gt;=t/4,"A",TRUE,"S"))</f>
        <v/>
      </c>
    </row>
    <row r="1169" spans="5:5">
      <c r="E1169" s="5">
        <f>IF(OR(D1169="",t=""),"",_xlfn.IFS(D1169&gt;=t,"C",D1169&gt;=t/2,"B",D1169&gt;=t/4,"A",TRUE,"S"))</f>
        <v/>
      </c>
    </row>
    <row r="1170" spans="5:5">
      <c r="E1170" s="5">
        <f>IF(OR(D1170="",t=""),"",_xlfn.IFS(D1170&gt;=t,"C",D1170&gt;=t/2,"B",D1170&gt;=t/4,"A",TRUE,"S"))</f>
        <v/>
      </c>
    </row>
    <row r="1171" spans="5:5">
      <c r="E1171" s="5">
        <f>IF(OR(D1171="",t=""),"",_xlfn.IFS(D1171&gt;=t,"C",D1171&gt;=t/2,"B",D1171&gt;=t/4,"A",TRUE,"S"))</f>
        <v/>
      </c>
    </row>
    <row r="1172" spans="5:5">
      <c r="E1172" s="5">
        <f>IF(OR(D1172="",t=""),"",_xlfn.IFS(D1172&gt;=t,"C",D1172&gt;=t/2,"B",D1172&gt;=t/4,"A",TRUE,"S"))</f>
        <v/>
      </c>
    </row>
    <row r="1173" spans="5:5">
      <c r="E1173" s="5">
        <f>IF(OR(D1173="",t=""),"",_xlfn.IFS(D1173&gt;=t,"C",D1173&gt;=t/2,"B",D1173&gt;=t/4,"A",TRUE,"S"))</f>
        <v/>
      </c>
    </row>
    <row r="1174" spans="5:5">
      <c r="E1174" s="5">
        <f>IF(OR(D1174="",t=""),"",_xlfn.IFS(D1174&gt;=t,"C",D1174&gt;=t/2,"B",D1174&gt;=t/4,"A",TRUE,"S"))</f>
        <v/>
      </c>
    </row>
    <row r="1175" spans="5:5">
      <c r="E1175" s="5">
        <f>IF(OR(D1175="",t=""),"",_xlfn.IFS(D1175&gt;=t,"C",D1175&gt;=t/2,"B",D1175&gt;=t/4,"A",TRUE,"S"))</f>
        <v/>
      </c>
    </row>
    <row r="1176" spans="5:5">
      <c r="E1176" s="5">
        <f>IF(OR(D1176="",t=""),"",_xlfn.IFS(D1176&gt;=t,"C",D1176&gt;=t/2,"B",D1176&gt;=t/4,"A",TRUE,"S"))</f>
        <v/>
      </c>
    </row>
    <row r="1177" spans="5:5">
      <c r="E1177" s="5">
        <f>IF(OR(D1177="",t=""),"",_xlfn.IFS(D1177&gt;=t,"C",D1177&gt;=t/2,"B",D1177&gt;=t/4,"A",TRUE,"S"))</f>
        <v/>
      </c>
    </row>
    <row r="1178" spans="5:5">
      <c r="E1178" s="5">
        <f>IF(OR(D1178="",t=""),"",_xlfn.IFS(D1178&gt;=t,"C",D1178&gt;=t/2,"B",D1178&gt;=t/4,"A",TRUE,"S"))</f>
        <v/>
      </c>
    </row>
    <row r="1179" spans="5:5">
      <c r="E1179" s="5">
        <f>IF(OR(D1179="",t=""),"",_xlfn.IFS(D1179&gt;=t,"C",D1179&gt;=t/2,"B",D1179&gt;=t/4,"A",TRUE,"S"))</f>
        <v/>
      </c>
    </row>
    <row r="1180" spans="5:5">
      <c r="E1180" s="5">
        <f>IF(OR(D1180="",t=""),"",_xlfn.IFS(D1180&gt;=t,"C",D1180&gt;=t/2,"B",D1180&gt;=t/4,"A",TRUE,"S"))</f>
        <v/>
      </c>
    </row>
    <row r="1181" spans="5:5">
      <c r="E1181" s="5">
        <f>IF(OR(D1181="",t=""),"",_xlfn.IFS(D1181&gt;=t,"C",D1181&gt;=t/2,"B",D1181&gt;=t/4,"A",TRUE,"S"))</f>
        <v/>
      </c>
    </row>
    <row r="1182" spans="5:5">
      <c r="E1182" s="5">
        <f>IF(OR(D1182="",t=""),"",_xlfn.IFS(D1182&gt;=t,"C",D1182&gt;=t/2,"B",D1182&gt;=t/4,"A",TRUE,"S"))</f>
        <v/>
      </c>
    </row>
    <row r="1183" spans="5:5">
      <c r="E1183" s="5">
        <f>IF(OR(D1183="",t=""),"",_xlfn.IFS(D1183&gt;=t,"C",D1183&gt;=t/2,"B",D1183&gt;=t/4,"A",TRUE,"S"))</f>
        <v/>
      </c>
    </row>
    <row r="1184" spans="5:5">
      <c r="E1184" s="5">
        <f>IF(OR(D1184="",t=""),"",_xlfn.IFS(D1184&gt;=t,"C",D1184&gt;=t/2,"B",D1184&gt;=t/4,"A",TRUE,"S"))</f>
        <v/>
      </c>
    </row>
    <row r="1185" spans="5:5">
      <c r="E1185" s="5">
        <f>IF(OR(D1185="",t=""),"",_xlfn.IFS(D1185&gt;=t,"C",D1185&gt;=t/2,"B",D1185&gt;=t/4,"A",TRUE,"S"))</f>
        <v/>
      </c>
    </row>
    <row r="1186" spans="5:5">
      <c r="E1186" s="5">
        <f>IF(OR(D1186="",t=""),"",_xlfn.IFS(D1186&gt;=t,"C",D1186&gt;=t/2,"B",D1186&gt;=t/4,"A",TRUE,"S"))</f>
        <v/>
      </c>
    </row>
    <row r="1187" spans="5:5">
      <c r="E1187" s="5">
        <f>IF(OR(D1187="",t=""),"",_xlfn.IFS(D1187&gt;=t,"C",D1187&gt;=t/2,"B",D1187&gt;=t/4,"A",TRUE,"S"))</f>
        <v/>
      </c>
    </row>
    <row r="1188" spans="5:5">
      <c r="E1188" s="5">
        <f>IF(OR(D1188="",t=""),"",_xlfn.IFS(D1188&gt;=t,"C",D1188&gt;=t/2,"B",D1188&gt;=t/4,"A",TRUE,"S"))</f>
        <v/>
      </c>
    </row>
    <row r="1189" spans="5:5">
      <c r="E1189" s="5">
        <f>IF(OR(D1189="",t=""),"",_xlfn.IFS(D1189&gt;=t,"C",D1189&gt;=t/2,"B",D1189&gt;=t/4,"A",TRUE,"S"))</f>
        <v/>
      </c>
    </row>
    <row r="1190" spans="5:5">
      <c r="E1190" s="5">
        <f>IF(OR(D1190="",t=""),"",_xlfn.IFS(D1190&gt;=t,"C",D1190&gt;=t/2,"B",D1190&gt;=t/4,"A",TRUE,"S"))</f>
        <v/>
      </c>
    </row>
    <row r="1191" spans="5:5">
      <c r="E1191" s="5">
        <f>IF(OR(D1191="",t=""),"",_xlfn.IFS(D1191&gt;=t,"C",D1191&gt;=t/2,"B",D1191&gt;=t/4,"A",TRUE,"S"))</f>
        <v/>
      </c>
    </row>
    <row r="1192" spans="5:5">
      <c r="E1192" s="5">
        <f>IF(OR(D1192="",t=""),"",_xlfn.IFS(D1192&gt;=t,"C",D1192&gt;=t/2,"B",D1192&gt;=t/4,"A",TRUE,"S"))</f>
        <v/>
      </c>
    </row>
    <row r="1193" spans="5:5">
      <c r="E1193" s="5">
        <f>IF(OR(D1193="",t=""),"",_xlfn.IFS(D1193&gt;=t,"C",D1193&gt;=t/2,"B",D1193&gt;=t/4,"A",TRUE,"S"))</f>
        <v/>
      </c>
    </row>
    <row r="1194" spans="5:5">
      <c r="E1194" s="5">
        <f>IF(OR(D1194="",t=""),"",_xlfn.IFS(D1194&gt;=t,"C",D1194&gt;=t/2,"B",D1194&gt;=t/4,"A",TRUE,"S"))</f>
        <v/>
      </c>
    </row>
    <row r="1195" spans="5:5">
      <c r="E1195" s="5">
        <f>IF(OR(D1195="",t=""),"",_xlfn.IFS(D1195&gt;=t,"C",D1195&gt;=t/2,"B",D1195&gt;=t/4,"A",TRUE,"S"))</f>
        <v/>
      </c>
    </row>
    <row r="1196" spans="5:5">
      <c r="E1196" s="5">
        <f>IF(OR(D1196="",t=""),"",_xlfn.IFS(D1196&gt;=t,"C",D1196&gt;=t/2,"B",D1196&gt;=t/4,"A",TRUE,"S"))</f>
        <v/>
      </c>
    </row>
    <row r="1197" spans="5:5">
      <c r="E1197" s="5">
        <f>IF(OR(D1197="",t=""),"",_xlfn.IFS(D1197&gt;=t,"C",D1197&gt;=t/2,"B",D1197&gt;=t/4,"A",TRUE,"S"))</f>
        <v/>
      </c>
    </row>
    <row r="1198" spans="5:5">
      <c r="E1198" s="5">
        <f>IF(OR(D1198="",t=""),"",_xlfn.IFS(D1198&gt;=t,"C",D1198&gt;=t/2,"B",D1198&gt;=t/4,"A",TRUE,"S"))</f>
        <v/>
      </c>
    </row>
    <row r="1199" spans="5:5">
      <c r="E1199" s="5">
        <f>IF(OR(D1199="",t=""),"",_xlfn.IFS(D1199&gt;=t,"C",D1199&gt;=t/2,"B",D1199&gt;=t/4,"A",TRUE,"S"))</f>
        <v/>
      </c>
    </row>
    <row r="1200" spans="5:5">
      <c r="E1200" s="5">
        <f>IF(OR(D1200="",t=""),"",_xlfn.IFS(D1200&gt;=t,"C",D1200&gt;=t/2,"B",D1200&gt;=t/4,"A",TRUE,"S"))</f>
        <v/>
      </c>
    </row>
    <row r="1201" spans="5:5">
      <c r="E1201" s="5">
        <f>IF(OR(D1201="",t=""),"",_xlfn.IFS(D1201&gt;=t,"C",D1201&gt;=t/2,"B",D1201&gt;=t/4,"A",TRUE,"S"))</f>
        <v/>
      </c>
    </row>
  </sheetData>
  <conditionalFormatting sqref="E2:E1201">
    <cfRule type="cellIs" dxfId="0" priority="1" operator="equal">
      <formula>"C"</formula>
    </cfRule>
    <cfRule type="cellIs" dxfId="1" priority="2" operator="equal">
      <formula>"B"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00_만든 방법</vt:lpstr>
      <vt:lpstr>pred</vt:lpstr>
      <vt:lpstr>기준</vt:lpstr>
      <vt:lpstr>단조성</vt:lpstr>
      <vt:lpstr>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3일차 실습 B-1 등급 매칭 완성본</dc:title>
  <dc:creator>tradefin-ai-2026</dc:creator>
  <dc:description>완성본(참고 실행 · t 0.17) — 엑셀 손작업 대신 열어 보고 AI 결과와 대조</dc:description>
  <cp:lastModifiedBy>tradefin-ai-2026</cp:lastModifiedBy>
  <dcterms:created xsi:type="dcterms:W3CDTF">2026-10-12T09:00:00Z</dcterms:created>
  <dcterms:modified xsi:type="dcterms:W3CDTF">2026-10-12T09:00:00Z</dcterms:modified>
</cp:coreProperties>
</file>